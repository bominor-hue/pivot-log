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ill in" sheetId="1" state="visible" r:id="rId1"/>
    <sheet xmlns:r="http://schemas.openxmlformats.org/officeDocument/2006/relationships" name="What matters" sheetId="2" state="visible" r:id="rId2"/>
    <sheet xmlns:r="http://schemas.openxmlformats.org/officeDocument/2006/relationships" name="By source" sheetId="3" state="visible" r:id="rId3"/>
    <sheet xmlns:r="http://schemas.openxmlformats.org/officeDocument/2006/relationships" name="Progress" sheetId="4" state="visible" r:id="rId4"/>
  </sheets>
  <definedNames>
    <definedName name="_xlnm._FilterDatabase" localSheetId="0" hidden="1">'Fill in'!$A$3:$BM$85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555555"/>
    </font>
    <font>
      <b val="1"/>
      <color rgb="00FFFFFF"/>
    </font>
    <font>
      <i val="1"/>
      <color rgb="00555555"/>
      <sz val="9"/>
    </font>
    <font>
      <i val="1"/>
      <color rgb="001F5F8B"/>
    </font>
    <font>
      <b val="1"/>
      <sz val="13"/>
    </font>
    <font>
      <b val="1"/>
      <color rgb="001F5F8B"/>
      <sz val="12"/>
    </font>
    <font>
      <b val="1"/>
      <sz val="16"/>
    </font>
    <font>
      <color rgb="00555555"/>
    </font>
  </fonts>
  <fills count="14">
    <fill>
      <patternFill/>
    </fill>
    <fill>
      <patternFill patternType="gray125"/>
    </fill>
    <fill>
      <patternFill patternType="solid">
        <fgColor rgb="00E6E6E6"/>
      </patternFill>
    </fill>
    <fill>
      <patternFill patternType="solid">
        <fgColor rgb="00F2F2F2"/>
      </patternFill>
    </fill>
    <fill>
      <patternFill patternType="solid">
        <fgColor rgb="001F5F8B"/>
      </patternFill>
    </fill>
    <fill>
      <patternFill patternType="solid">
        <fgColor rgb="00DCE9F5"/>
      </patternFill>
    </fill>
    <fill>
      <patternFill patternType="solid">
        <fgColor rgb="003B8B6E"/>
      </patternFill>
    </fill>
    <fill>
      <patternFill patternType="solid">
        <fgColor rgb="00DFF0E8"/>
      </patternFill>
    </fill>
    <fill>
      <patternFill patternType="solid">
        <fgColor rgb="008A6D3B"/>
      </patternFill>
    </fill>
    <fill>
      <patternFill patternType="solid">
        <fgColor rgb="00F3EBDD"/>
      </patternFill>
    </fill>
    <fill>
      <patternFill patternType="solid">
        <fgColor rgb="006B6B6B"/>
      </patternFill>
    </fill>
    <fill>
      <patternFill patternType="solid">
        <fgColor rgb="00ECECEC"/>
      </patternFill>
    </fill>
    <fill>
      <patternFill patternType="solid">
        <fgColor rgb="00404040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4" fillId="4" borderId="0" pivotButton="0" quotePrefix="0" xfId="0"/>
    <xf numFmtId="0" fontId="4" fillId="6" borderId="0" pivotButton="0" quotePrefix="0" xfId="0"/>
    <xf numFmtId="0" fontId="4" fillId="8" borderId="0" pivotButton="0" quotePrefix="0" xfId="0"/>
    <xf numFmtId="0" fontId="4" fillId="10" borderId="0" pivotButton="0" quotePrefix="0" xfId="0"/>
    <xf numFmtId="0" fontId="4" fillId="12" borderId="0" pivotButton="0" quotePrefix="0" xfId="0"/>
    <xf numFmtId="0" fontId="0" fillId="12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0" pivotButton="0" quotePrefix="0" xfId="0"/>
    <xf numFmtId="0" fontId="5" fillId="5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5" fillId="9" borderId="0" applyAlignment="1" pivotButton="0" quotePrefix="0" xfId="0">
      <alignment vertical="top" wrapText="1"/>
    </xf>
    <xf numFmtId="0" fontId="5" fillId="11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13" borderId="1" pivotButton="0" quotePrefix="0" xfId="0"/>
    <xf numFmtId="0" fontId="6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7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8" fillId="0" borderId="0" pivotButton="0" quotePrefix="0" xfId="0"/>
    <xf numFmtId="0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6" customWidth="1" min="4" max="4"/>
    <col width="9" customWidth="1" min="5" max="5"/>
    <col width="9" customWidth="1" min="6" max="6"/>
    <col width="8" customWidth="1" min="7" max="7"/>
    <col width="16" customWidth="1" min="8" max="8"/>
    <col width="10" customWidth="1" min="9" max="9"/>
    <col width="8" customWidth="1" min="10" max="10"/>
    <col width="9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</cols>
  <sheetData>
    <row r="1">
      <c r="A1" s="5" t="inlineStr">
        <is>
          <t>Pivot info sheet. One row per pivot; fill the cells you know and import it in Pivot Log (Fields &gt; Import). Blank cells never erase what is already there.</t>
        </is>
      </c>
    </row>
    <row r="2">
      <c r="A2" s="6" t="inlineStr">
        <is>
          <t>About the pivot (from the register)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8" t="inlineStr">
        <is>
          <t>1  Model needs</t>
        </is>
      </c>
      <c r="N2" s="8" t="n"/>
      <c r="O2" s="8" t="n"/>
      <c r="P2" s="8" t="n"/>
      <c r="Q2" s="8" t="n"/>
      <c r="R2" s="8" t="n"/>
      <c r="S2" s="8" t="n"/>
      <c r="T2" s="8" t="n"/>
      <c r="U2" s="9" t="inlineStr">
        <is>
          <t>2  Checks, alerts, app</t>
        </is>
      </c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10" t="inlineStr">
        <is>
          <t>3  Records &amp; reporting</t>
        </is>
      </c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1" t="inlineStr">
        <is>
          <t>4  Maintenance</t>
        </is>
      </c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2" t="inlineStr">
        <is>
          <t>Calculated</t>
        </is>
      </c>
      <c r="BI2" s="13" t="n"/>
      <c r="BJ2" s="13" t="n"/>
      <c r="BK2" s="13" t="n"/>
      <c r="BL2" s="13" t="n"/>
      <c r="BM2" s="13" t="n"/>
    </row>
    <row r="3" ht="45" customHeight="1">
      <c r="A3" s="14" t="inlineStr">
        <is>
          <t>System ID</t>
        </is>
      </c>
      <c r="B3" s="14" t="inlineStr">
        <is>
          <t>Farm</t>
        </is>
      </c>
      <c r="C3" s="14" t="inlineStr">
        <is>
          <t>Fields served</t>
        </is>
      </c>
      <c r="D3" s="14" t="inlineStr">
        <is>
          <t>2026 crop(s)</t>
        </is>
      </c>
      <c r="E3" s="14" t="inlineStr">
        <is>
          <t>Planned acres</t>
        </is>
      </c>
      <c r="F3" s="14" t="inlineStr">
        <is>
          <t>Boundary acres</t>
        </is>
      </c>
      <c r="G3" s="14" t="inlineStr">
        <is>
          <t>On AgSense</t>
        </is>
      </c>
      <c r="H3" s="14" t="inlineStr">
        <is>
          <t>AgSense name</t>
        </is>
      </c>
      <c r="I3" s="14" t="inlineStr">
        <is>
          <t>AgSense gpm (typed in)</t>
        </is>
      </c>
      <c r="J3" s="14" t="inlineStr">
        <is>
          <t>2027 pilot</t>
        </is>
      </c>
      <c r="K3" s="14" t="inlineStr">
        <is>
          <t>AgSense acres setting</t>
        </is>
      </c>
      <c r="L3" s="14" t="inlineStr">
        <is>
          <t>Order</t>
        </is>
      </c>
      <c r="M3" s="15" t="inlineStr">
        <is>
          <t>Irrigated acres (design or FSA)</t>
        </is>
      </c>
      <c r="N3" s="15" t="inlineStr">
        <is>
          <t>Design flow (gpm)</t>
        </is>
      </c>
      <c r="O3" s="15" t="inlineStr">
        <is>
          <t>Hours per rev at 100%</t>
        </is>
      </c>
      <c r="P3" s="15" t="inlineStr">
        <is>
          <t>Full or part circle (deg)</t>
        </is>
      </c>
      <c r="Q3" s="15" t="inlineStr">
        <is>
          <t>End gun (Y/N, model)</t>
        </is>
      </c>
      <c r="R3" s="15" t="inlineStr">
        <is>
          <t>Sprinkler package</t>
        </is>
      </c>
      <c r="S3" s="15" t="inlineStr">
        <is>
          <t>Water source</t>
        </is>
      </c>
      <c r="T3" s="15" t="inlineStr">
        <is>
          <t>Other pivots on same source</t>
        </is>
      </c>
      <c r="U3" s="16" t="inlineStr">
        <is>
          <t>Design pressure (psi)</t>
        </is>
      </c>
      <c r="V3" s="16" t="inlineStr">
        <is>
          <t>Wetted radius incl. end gun (ft)</t>
        </is>
      </c>
      <c r="W3" s="16" t="inlineStr">
        <is>
          <t>Length to last tower (ft)</t>
        </is>
      </c>
      <c r="X3" s="16" t="inlineStr">
        <is>
          <t>Towers (#)</t>
        </is>
      </c>
      <c r="Y3" s="16" t="inlineStr">
        <is>
          <t>Pivot make</t>
        </is>
      </c>
      <c r="Z3" s="16" t="inlineStr">
        <is>
          <t>Model</t>
        </is>
      </c>
      <c r="AA3" s="16" t="inlineStr">
        <is>
          <t>Control panel</t>
        </is>
      </c>
      <c r="AB3" s="16" t="inlineStr">
        <is>
          <t>Crop Link model</t>
        </is>
      </c>
      <c r="AC3" s="16" t="inlineStr">
        <is>
          <t>Flow meter</t>
        </is>
      </c>
      <c r="AD3" s="16" t="inlineStr">
        <is>
          <t>Pressure transducer</t>
        </is>
      </c>
      <c r="AE3" s="16" t="inlineStr">
        <is>
          <t>Rain gauge</t>
        </is>
      </c>
      <c r="AF3" s="16" t="inlineStr">
        <is>
          <t>Position sensing</t>
        </is>
      </c>
      <c r="AG3" s="16" t="inlineStr">
        <is>
          <t>Measured flow (gpm, date)</t>
        </is>
      </c>
      <c r="AH3" s="16" t="inlineStr">
        <is>
          <t>Dealer</t>
        </is>
      </c>
      <c r="AI3" s="16" t="inlineStr">
        <is>
          <t>Well / intake ID</t>
        </is>
      </c>
      <c r="AJ3" s="16" t="inlineStr">
        <is>
          <t>Power source</t>
        </is>
      </c>
      <c r="AK3" s="16" t="inlineStr">
        <is>
          <t>Drive type</t>
        </is>
      </c>
      <c r="AL3" s="17" t="inlineStr">
        <is>
          <t>FSA farm # (FSN)</t>
        </is>
      </c>
      <c r="AM3" s="17" t="inlineStr">
        <is>
          <t>FSA tract / CLU</t>
        </is>
      </c>
      <c r="AN3" s="17" t="inlineStr">
        <is>
          <t>GA EPD withdrawal permit #</t>
        </is>
      </c>
      <c r="AO3" s="17" t="inlineStr">
        <is>
          <t>State ag water meter ID</t>
        </is>
      </c>
      <c r="AP3" s="17" t="inlineStr">
        <is>
          <t>Power supplier / meter #</t>
        </is>
      </c>
      <c r="AQ3" s="17" t="inlineStr">
        <is>
          <t>Install year</t>
        </is>
      </c>
      <c r="AR3" s="17" t="inlineStr">
        <is>
          <t>Pivot serial / order #</t>
        </is>
      </c>
      <c r="AS3" s="17" t="inlineStr">
        <is>
          <t>Pump type</t>
        </is>
      </c>
      <c r="AT3" s="17" t="inlineStr">
        <is>
          <t>Pump/motor hp</t>
        </is>
      </c>
      <c r="AU3" s="17" t="inlineStr">
        <is>
          <t>Well depth / aquifer</t>
        </is>
      </c>
      <c r="AV3" s="17" t="inlineStr">
        <is>
          <t>EQIP / CSP history</t>
        </is>
      </c>
      <c r="AW3" s="17" t="inlineStr">
        <is>
          <t>Irrigated 2 of last 5 yrs</t>
        </is>
      </c>
      <c r="AX3" s="18" t="inlineStr">
        <is>
          <t>Sprinkler chart on file</t>
        </is>
      </c>
      <c r="AY3" s="18" t="inlineStr">
        <is>
          <t>Package install year</t>
        </is>
      </c>
      <c r="AZ3" s="18" t="inlineStr">
        <is>
          <t>Pressure regulators (psi)</t>
        </is>
      </c>
      <c r="BA3" s="18" t="inlineStr">
        <is>
          <t>End gun on-arc / booster</t>
        </is>
      </c>
      <c r="BB3" s="18" t="inlineStr">
        <is>
          <t>Corner arm / swing arm</t>
        </is>
      </c>
      <c r="BC3" s="18" t="inlineStr">
        <is>
          <t>VRI (speed / zone)</t>
        </is>
      </c>
      <c r="BD3" s="18" t="inlineStr">
        <is>
          <t>Measured pressure (psi, date)</t>
        </is>
      </c>
      <c r="BE3" s="18" t="inlineStr">
        <is>
          <t>Last uniformity test (date, CU %)</t>
        </is>
      </c>
      <c r="BF3" s="18" t="inlineStr">
        <is>
          <t>Known problems</t>
        </is>
      </c>
      <c r="BG3" s="18" t="inlineStr">
        <is>
          <t>Last service / repair</t>
        </is>
      </c>
      <c r="BH3" s="19" t="inlineStr">
        <is>
          <t>Tier 1 done</t>
        </is>
      </c>
      <c r="BI3" s="19" t="inlineStr">
        <is>
          <t>All done %</t>
        </is>
      </c>
      <c r="BJ3" s="19" t="inlineStr">
        <is>
          <t>In per rev at 100% (calc)</t>
        </is>
      </c>
      <c r="BK3" s="19" t="inlineStr">
        <is>
          <t>gpm per acre (calc)</t>
        </is>
      </c>
      <c r="BL3" s="19" t="inlineStr">
        <is>
          <t>Acres from radius (calc)</t>
        </is>
      </c>
      <c r="BM3" s="19" t="inlineStr">
        <is>
          <t>Check</t>
        </is>
      </c>
    </row>
    <row r="4" ht="60" customHeight="1">
      <c r="A4" s="20" t="inlineStr">
        <is>
          <t>Where to get it</t>
        </is>
      </c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2" t="inlineStr">
        <is>
          <t>Dealer / Office: Sprinkler chart (design acres) or FSA-578</t>
        </is>
      </c>
      <c r="N4" s="22" t="inlineStr">
        <is>
          <t>Dealer / Field walk: Sprinkler chart, often taped inside the panel door</t>
        </is>
      </c>
      <c r="O4" s="22" t="inlineStr">
        <is>
          <t>Dealer / Field walk / AgSense web: Sprinkler chart, panel, or the AgSense unit settings</t>
        </is>
      </c>
      <c r="P4" s="22" t="inlineStr">
        <is>
          <t>Field walk: Crew: 360, or the degrees between the stops</t>
        </is>
      </c>
      <c r="Q4" s="22" t="inlineStr">
        <is>
          <t>Dealer / Field walk: Sprinkler chart or look at the last tower</t>
        </is>
      </c>
      <c r="R4" s="22" t="inlineStr">
        <is>
          <t>Dealer / Field walk: Sprinkler chart; or look: drops, on top, LEPA</t>
        </is>
      </c>
      <c r="S4" s="22" t="inlineStr">
        <is>
          <t>Office: Bo</t>
        </is>
      </c>
      <c r="T4" s="22" t="inlineStr">
        <is>
          <t>Office: Bo: list the pivots that share the well or pump</t>
        </is>
      </c>
      <c r="U4" s="23" t="inlineStr">
        <is>
          <t>Dealer / Field walk: Sprinkler chart</t>
        </is>
      </c>
      <c r="V4" s="23" t="inlineStr">
        <is>
          <t>Dealer: Sprinkler chart</t>
        </is>
      </c>
      <c r="W4" s="23" t="inlineStr">
        <is>
          <t>Dealer: Sprinkler chart</t>
        </is>
      </c>
      <c r="X4" s="23" t="inlineStr">
        <is>
          <t>Field walk: Count them</t>
        </is>
      </c>
      <c r="Y4" s="23" t="inlineStr">
        <is>
          <t>Field walk: Data plate at the pivot point</t>
        </is>
      </c>
      <c r="Z4" s="23" t="inlineStr">
        <is>
          <t>Field walk: Data plate</t>
        </is>
      </c>
      <c r="AA4" s="23" t="inlineStr">
        <is>
          <t>Field walk: Photo of the panel</t>
        </is>
      </c>
      <c r="AB4" s="23" t="inlineStr">
        <is>
          <t>Dealer / AgSense web: AgSense dealer, or the unit label</t>
        </is>
      </c>
      <c r="AC4" s="23" t="inlineStr">
        <is>
          <t>Field walk: Look on the pipe near the pivot point</t>
        </is>
      </c>
      <c r="AD4" s="23" t="inlineStr">
        <is>
          <t>Field walk / Dealer: Look at the pivot point</t>
        </is>
      </c>
      <c r="AE4" s="23" t="inlineStr">
        <is>
          <t>Field walk: Look on the pivot</t>
        </is>
      </c>
      <c r="AF4" s="23" t="inlineStr">
        <is>
          <t>Dealer: AgSense dealer</t>
        </is>
      </c>
      <c r="AG4" s="23" t="inlineStr">
        <is>
          <t>MIL test (winter): UGA Mobile Irrigation Lab or a flow meter</t>
        </is>
      </c>
      <c r="AH4" s="23" t="inlineStr">
        <is>
          <t>Office: Bo</t>
        </is>
      </c>
      <c r="AI4" s="23" t="inlineStr">
        <is>
          <t>Office: Bo: your name or number for the well or intake</t>
        </is>
      </c>
      <c r="AJ4" s="23" t="inlineStr">
        <is>
          <t>Office: Bo</t>
        </is>
      </c>
      <c r="AK4" s="23" t="inlineStr">
        <is>
          <t>Field walk: Panel or towers</t>
        </is>
      </c>
      <c r="AL4" s="24" t="inlineStr">
        <is>
          <t>Office: Prefilled from Field Master 2026; confirm</t>
        </is>
      </c>
      <c r="AM4" s="24" t="inlineStr">
        <is>
          <t>Office: FSA-578 or FSA maps</t>
        </is>
      </c>
      <c r="AN4" s="24" t="inlineStr">
        <is>
          <t>Office: EPD permit papers</t>
        </is>
      </c>
      <c r="AO4" s="24" t="inlineStr">
        <is>
          <t>Field walk: Tag on the state meter</t>
        </is>
      </c>
      <c r="AP4" s="24" t="inlineStr">
        <is>
          <t>Office: Power bill or fuel records</t>
        </is>
      </c>
      <c r="AQ4" s="24" t="inlineStr">
        <is>
          <t>Field walk / Dealer: Data plate or dealer</t>
        </is>
      </c>
      <c r="AR4" s="24" t="inlineStr">
        <is>
          <t>Field walk: Data plate</t>
        </is>
      </c>
      <c r="AS4" s="24" t="inlineStr">
        <is>
          <t>Field walk: Pump plate</t>
        </is>
      </c>
      <c r="AT4" s="24" t="inlineStr">
        <is>
          <t>Field walk: Motor plate</t>
        </is>
      </c>
      <c r="AU4" s="24" t="inlineStr">
        <is>
          <t>Office: Well log</t>
        </is>
      </c>
      <c r="AV4" s="24" t="inlineStr">
        <is>
          <t>Office: NRCS contracts</t>
        </is>
      </c>
      <c r="AW4" s="24" t="inlineStr">
        <is>
          <t>Office: Bo / FSA-578</t>
        </is>
      </c>
      <c r="AX4" s="25" t="inlineStr">
        <is>
          <t>Office: Yes/No and where the photo lives</t>
        </is>
      </c>
      <c r="AY4" s="25" t="inlineStr">
        <is>
          <t>Office / Dealer: When nozzles were last replaced</t>
        </is>
      </c>
      <c r="AZ4" s="25" t="inlineStr">
        <is>
          <t>Dealer / Field walk: Sprinkler chart or regulator label</t>
        </is>
      </c>
      <c r="BA4" s="25" t="inlineStr">
        <is>
          <t>Field walk: Crew: sectors where it runs; booster pump yes/no</t>
        </is>
      </c>
      <c r="BB4" s="25" t="inlineStr">
        <is>
          <t>Field walk: Look</t>
        </is>
      </c>
      <c r="BC4" s="25" t="inlineStr">
        <is>
          <t>Dealer: Dealer</t>
        </is>
      </c>
      <c r="BD4" s="25" t="inlineStr">
        <is>
          <t>MIL test (winter): Mobile Irrigation Lab</t>
        </is>
      </c>
      <c r="BE4" s="25" t="inlineStr">
        <is>
          <t>MIL test (winter): Mobile Irrigation Lab</t>
        </is>
      </c>
      <c r="BF4" s="25" t="inlineStr">
        <is>
          <t>Field walk: Crew</t>
        </is>
      </c>
      <c r="BG4" s="25" t="inlineStr">
        <is>
          <t>Field walk: Crew / dealer</t>
        </is>
      </c>
    </row>
  </sheetData>
  <autoFilter ref="A3:BM85"/>
  <conditionalFormatting sqref="M5:BG85">
    <cfRule type="expression" priority="1" dxfId="0">
      <formula>LEN(M5&amp;"")&gt;0</formula>
    </cfRule>
  </conditionalFormatting>
  <dataValidations count="15">
    <dataValidation sqref="R5:R85" showDropDown="0" showInputMessage="0" showErrorMessage="0" allowBlank="1" type="list">
      <formula1>"Spray on drops,LEPA / bubbler,Rotator on drops,Spray on top,Impact on top,Other"</formula1>
    </dataValidation>
    <dataValidation sqref="S5:S85" showDropDown="0" showInputMessage="0" showErrorMessage="0" allowBlank="1" type="list">
      <formula1>"Well,Pond,Creek / river,Well + pond,Other"</formula1>
    </dataValidation>
    <dataValidation sqref="Y5:Y85" showDropDown="0" showInputMessage="0" showErrorMessage="0" allowBlank="1" type="list">
      <formula1>"Valley,Zimmatic (Lindsay),Reinke,T-L,Other"</formula1>
    </dataValidation>
    <dataValidation sqref="AA5:AA85" showDropDown="0" showInputMessage="0" showErrorMessage="0" allowBlank="1" type="list">
      <formula1>"Valley Classic / basic,Valley Pro2,Valley Select2,Valley ICON,Zimmatic AIMS,Zimmatic FieldBOSS,Reinke RPM,Timer only,Other"</formula1>
    </dataValidation>
    <dataValidation sqref="AB5:AB85" showDropDown="0" showInputMessage="0" showErrorMessage="0" allowBlank="1" type="list">
      <formula1>"Pro,Lite,None,Unknown"</formula1>
    </dataValidation>
    <dataValidation sqref="AC5:AC85" showDropDown="0" showInputMessage="0" showErrorMessage="0" allowBlank="1" type="list">
      <formula1>"Yes,No,Unknown"</formula1>
    </dataValidation>
    <dataValidation sqref="AD5:AD85" showDropDown="0" showInputMessage="0" showErrorMessage="0" allowBlank="1" type="list">
      <formula1>"Yes,No,Unknown"</formula1>
    </dataValidation>
    <dataValidation sqref="AE5:AE85" showDropDown="0" showInputMessage="0" showErrorMessage="0" allowBlank="1" type="list">
      <formula1>"Yes,No,Unknown"</formula1>
    </dataValidation>
    <dataValidation sqref="AF5:AF85" showDropDown="0" showInputMessage="0" showErrorMessage="0" allowBlank="1" type="list">
      <formula1>"GPS,Resolver / angle,None,Unknown"</formula1>
    </dataValidation>
    <dataValidation sqref="AJ5:AJ85" showDropDown="0" showInputMessage="0" showErrorMessage="0" allowBlank="1" type="list">
      <formula1>"Electric 3-phase,Electric phase converter,Diesel,Propane,Natural gas,Other"</formula1>
    </dataValidation>
    <dataValidation sqref="AK5:AK85" showDropDown="0" showInputMessage="0" showErrorMessage="0" allowBlank="1" type="list">
      <formula1>"Electric,Hydraulic,Other"</formula1>
    </dataValidation>
    <dataValidation sqref="AS5:AS85" showDropDown="0" showInputMessage="0" showErrorMessage="0" allowBlank="1" type="list">
      <formula1>"Vertical turbine,Submersible,Centrifugal,Other"</formula1>
    </dataValidation>
    <dataValidation sqref="AW5:AW85" showDropDown="0" showInputMessage="0" showErrorMessage="0" allowBlank="1" type="list">
      <formula1>"Yes,No"</formula1>
    </dataValidation>
    <dataValidation sqref="BB5:BB85" showDropDown="0" showInputMessage="0" showErrorMessage="0" allowBlank="1" type="list">
      <formula1>"Yes,No,Unknown"</formula1>
    </dataValidation>
    <dataValidation sqref="BC5:BC85" showDropDown="0" showInputMessage="0" showErrorMessage="0" allowBlank="1" type="list">
      <formula1>"None,Speed control,Zone control"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60" customWidth="1" min="4" max="4"/>
    <col width="22" customWidth="1" min="5" max="5"/>
    <col width="34" customWidth="1" min="6" max="6"/>
    <col width="9" customWidth="1" min="7" max="7"/>
    <col width="9" customWidth="1" min="8" max="8"/>
  </cols>
  <sheetData>
    <row r="1">
      <c r="A1" s="31" t="inlineStr">
        <is>
          <t>Fields to collect, ranked by what the water model and app need</t>
        </is>
      </c>
    </row>
    <row r="2">
      <c r="A2" t="inlineStr">
        <is>
          <t>Filled = pivots that already have it in the register. Rank 1 is the most important.</t>
        </is>
      </c>
    </row>
    <row r="4">
      <c r="A4" s="19" t="inlineStr">
        <is>
          <t>Rank</t>
        </is>
      </c>
      <c r="B4" s="19" t="inlineStr">
        <is>
          <t>Tier</t>
        </is>
      </c>
      <c r="C4" s="19" t="inlineStr">
        <is>
          <t>Field</t>
        </is>
      </c>
      <c r="D4" s="19" t="inlineStr">
        <is>
          <t>Why it matters</t>
        </is>
      </c>
      <c r="E4" s="19" t="inlineStr">
        <is>
          <t>Best source</t>
        </is>
      </c>
      <c r="F4" s="19" t="inlineStr">
        <is>
          <t>Where to find it</t>
        </is>
      </c>
      <c r="G4" s="19" t="inlineStr">
        <is>
          <t>Filled now</t>
        </is>
      </c>
      <c r="H4" s="19" t="inlineStr">
        <is>
          <t>Still needed</t>
        </is>
      </c>
    </row>
    <row r="5">
      <c r="A5" s="32" t="n">
        <v>1</v>
      </c>
      <c r="B5" s="33" t="inlineStr">
        <is>
          <t>1  Model needs</t>
        </is>
      </c>
      <c r="C5" s="32" t="inlineStr">
        <is>
          <t>Irrigated acres (design or FSA)</t>
        </is>
      </c>
      <c r="D5" s="32" t="inlineStr">
        <is>
          <t>Divides gallons into inches. Field Master acres are the FSA field, often not the wetted circle.</t>
        </is>
      </c>
      <c r="E5" s="32" t="inlineStr">
        <is>
          <t>Dealer / Office</t>
        </is>
      </c>
      <c r="F5" s="32" t="inlineStr">
        <is>
          <t>Sprinkler chart (design acres) or FSA-578</t>
        </is>
      </c>
      <c r="G5" s="32" t="n">
        <v>0</v>
      </c>
      <c r="H5" s="32" t="n">
        <v>81</v>
      </c>
    </row>
    <row r="6">
      <c r="A6" s="32" t="n">
        <v>2</v>
      </c>
      <c r="B6" s="33" t="inlineStr">
        <is>
          <t>1  Model needs</t>
        </is>
      </c>
      <c r="C6" s="32" t="inlineStr">
        <is>
          <t>Design flow (gpm)</t>
        </is>
      </c>
      <c r="D6" s="32" t="inlineStr">
        <is>
          <t>Inches = gpm x hours / (452.6 x acres). Today only 22 pivots have a gpm, and it is typed into AgSense, not measured.</t>
        </is>
      </c>
      <c r="E6" s="32" t="inlineStr">
        <is>
          <t>Dealer / Field walk</t>
        </is>
      </c>
      <c r="F6" s="32" t="inlineStr">
        <is>
          <t>Sprinkler chart, often taped inside the panel door</t>
        </is>
      </c>
      <c r="G6" s="32" t="n">
        <v>0</v>
      </c>
      <c r="H6" s="32" t="n">
        <v>81</v>
      </c>
    </row>
    <row r="7">
      <c r="A7" s="32" t="n">
        <v>3</v>
      </c>
      <c r="B7" s="33" t="inlineStr">
        <is>
          <t>1  Model needs</t>
        </is>
      </c>
      <c r="C7" s="32" t="inlineStr">
        <is>
          <t>Hours per rev at 100%</t>
        </is>
      </c>
      <c r="D7" s="32" t="inlineStr">
        <is>
          <t>Turns a % timer setting into depth. The app's watering instructions are given as a % timer.</t>
        </is>
      </c>
      <c r="E7" s="32" t="inlineStr">
        <is>
          <t>Dealer / Field walk / AgSense web</t>
        </is>
      </c>
      <c r="F7" s="32" t="inlineStr">
        <is>
          <t>Sprinkler chart, panel, or the AgSense unit settings</t>
        </is>
      </c>
      <c r="G7" s="32" t="n">
        <v>0</v>
      </c>
      <c r="H7" s="32" t="n">
        <v>81</v>
      </c>
    </row>
    <row r="8">
      <c r="A8" s="32" t="n">
        <v>4</v>
      </c>
      <c r="B8" s="33" t="inlineStr">
        <is>
          <t>1  Model needs</t>
        </is>
      </c>
      <c r="C8" s="32" t="inlineStr">
        <is>
          <t>Full or part circle (deg)</t>
        </is>
      </c>
      <c r="D8" s="32" t="inlineStr">
        <is>
          <t>Part circles change acres and lap time.</t>
        </is>
      </c>
      <c r="E8" s="32" t="inlineStr">
        <is>
          <t>Field walk</t>
        </is>
      </c>
      <c r="F8" s="32" t="inlineStr">
        <is>
          <t>Crew: 360, or the degrees between the stops</t>
        </is>
      </c>
      <c r="G8" s="32" t="n">
        <v>0</v>
      </c>
      <c r="H8" s="32" t="n">
        <v>81</v>
      </c>
    </row>
    <row r="9">
      <c r="A9" s="32" t="n">
        <v>5</v>
      </c>
      <c r="B9" s="33" t="inlineStr">
        <is>
          <t>1  Model needs</t>
        </is>
      </c>
      <c r="C9" s="32" t="inlineStr">
        <is>
          <t>End gun (Y/N, model)</t>
        </is>
      </c>
      <c r="D9" s="32" t="inlineStr">
        <is>
          <t>End gun adds acres and gpm while it is on.</t>
        </is>
      </c>
      <c r="E9" s="32" t="inlineStr">
        <is>
          <t>Dealer / Field walk</t>
        </is>
      </c>
      <c r="F9" s="32" t="inlineStr">
        <is>
          <t>Sprinkler chart or look at the last tower</t>
        </is>
      </c>
      <c r="G9" s="32" t="n">
        <v>0</v>
      </c>
      <c r="H9" s="32" t="n">
        <v>81</v>
      </c>
    </row>
    <row r="10">
      <c r="A10" s="32" t="n">
        <v>6</v>
      </c>
      <c r="B10" s="33" t="inlineStr">
        <is>
          <t>1  Model needs</t>
        </is>
      </c>
      <c r="C10" s="32" t="inlineStr">
        <is>
          <t>Sprinkler package</t>
        </is>
      </c>
      <c r="D10" s="32" t="inlineStr">
        <is>
          <t>Sets application efficiency (LEPA about 95%, spray on drops about 85%, impacts on top about 75%). The model uses 85% for every pivot today.</t>
        </is>
      </c>
      <c r="E10" s="32" t="inlineStr">
        <is>
          <t>Dealer / Field walk</t>
        </is>
      </c>
      <c r="F10" s="32" t="inlineStr">
        <is>
          <t>Sprinkler chart; or look: drops, on top, LEPA</t>
        </is>
      </c>
      <c r="G10" s="32" t="n">
        <v>0</v>
      </c>
      <c r="H10" s="32" t="n">
        <v>81</v>
      </c>
    </row>
    <row r="11">
      <c r="A11" s="32" t="n">
        <v>7</v>
      </c>
      <c r="B11" s="33" t="inlineStr">
        <is>
          <t>1  Model needs</t>
        </is>
      </c>
      <c r="C11" s="32" t="inlineStr">
        <is>
          <t>Water source</t>
        </is>
      </c>
      <c r="D11" s="32" t="inlineStr">
        <is>
          <t>Wells, ponds and creeks behave differently in drought and have different permits.</t>
        </is>
      </c>
      <c r="E11" s="32" t="inlineStr">
        <is>
          <t>Office</t>
        </is>
      </c>
      <c r="F11" s="32" t="inlineStr">
        <is>
          <t>Bo</t>
        </is>
      </c>
      <c r="G11" s="32" t="n">
        <v>0</v>
      </c>
      <c r="H11" s="32" t="n">
        <v>81</v>
      </c>
    </row>
    <row r="12">
      <c r="A12" s="32" t="n">
        <v>8</v>
      </c>
      <c r="B12" s="33" t="inlineStr">
        <is>
          <t>1  Model needs</t>
        </is>
      </c>
      <c r="C12" s="32" t="inlineStr">
        <is>
          <t>Other pivots on same source</t>
        </is>
      </c>
      <c r="D12" s="32" t="inlineStr">
        <is>
          <t>Pivots on one well cannot all run at full flow. The app must not tell you to start both.</t>
        </is>
      </c>
      <c r="E12" s="32" t="inlineStr">
        <is>
          <t>Office</t>
        </is>
      </c>
      <c r="F12" s="32" t="inlineStr">
        <is>
          <t>Bo: list the pivots that share the well or pump</t>
        </is>
      </c>
      <c r="G12" s="32" t="n">
        <v>0</v>
      </c>
      <c r="H12" s="32" t="n">
        <v>81</v>
      </c>
    </row>
    <row r="13">
      <c r="A13" s="32" t="n">
        <v>9</v>
      </c>
      <c r="B13" s="34" t="inlineStr">
        <is>
          <t>2  Checks, alerts, app</t>
        </is>
      </c>
      <c r="C13" s="32" t="inlineStr">
        <is>
          <t>Design pressure (psi)</t>
        </is>
      </c>
      <c r="D13" s="32" t="inlineStr">
        <is>
          <t>Baseline for low-pressure fault alerts.</t>
        </is>
      </c>
      <c r="E13" s="32" t="inlineStr">
        <is>
          <t>Dealer / Field walk</t>
        </is>
      </c>
      <c r="F13" s="32" t="inlineStr">
        <is>
          <t>Sprinkler chart</t>
        </is>
      </c>
      <c r="G13" s="32" t="n">
        <v>0</v>
      </c>
      <c r="H13" s="32" t="n">
        <v>81</v>
      </c>
    </row>
    <row r="14">
      <c r="A14" s="32" t="n">
        <v>10</v>
      </c>
      <c r="B14" s="34" t="inlineStr">
        <is>
          <t>2  Checks, alerts, app</t>
        </is>
      </c>
      <c r="C14" s="32" t="inlineStr">
        <is>
          <t>Wetted radius incl. end gun (ft)</t>
        </is>
      </c>
      <c r="D14" s="32" t="inlineStr">
        <is>
          <t>Cross-checks acres: acres = 3.1416 x radius squared / 43,560.</t>
        </is>
      </c>
      <c r="E14" s="32" t="inlineStr">
        <is>
          <t>Dealer</t>
        </is>
      </c>
      <c r="F14" s="32" t="inlineStr">
        <is>
          <t>Sprinkler chart</t>
        </is>
      </c>
      <c r="G14" s="32" t="n">
        <v>0</v>
      </c>
      <c r="H14" s="32" t="n">
        <v>81</v>
      </c>
    </row>
    <row r="15">
      <c r="A15" s="32" t="n">
        <v>11</v>
      </c>
      <c r="B15" s="34" t="inlineStr">
        <is>
          <t>2  Checks, alerts, app</t>
        </is>
      </c>
      <c r="C15" s="32" t="inlineStr">
        <is>
          <t>Length to last tower (ft)</t>
        </is>
      </c>
      <c r="D15" s="32" t="inlineStr">
        <is>
          <t>Cross-check for acres and the chart.</t>
        </is>
      </c>
      <c r="E15" s="32" t="inlineStr">
        <is>
          <t>Dealer</t>
        </is>
      </c>
      <c r="F15" s="32" t="inlineStr">
        <is>
          <t>Sprinkler chart</t>
        </is>
      </c>
      <c r="G15" s="32" t="n">
        <v>0</v>
      </c>
      <c r="H15" s="32" t="n">
        <v>81</v>
      </c>
    </row>
    <row r="16">
      <c r="A16" s="32" t="n">
        <v>12</v>
      </c>
      <c r="B16" s="34" t="inlineStr">
        <is>
          <t>2  Checks, alerts, app</t>
        </is>
      </c>
      <c r="C16" s="32" t="inlineStr">
        <is>
          <t>Towers (#)</t>
        </is>
      </c>
      <c r="D16" s="32" t="inlineStr">
        <is>
          <t>Identifies the machine and the chart that goes with it.</t>
        </is>
      </c>
      <c r="E16" s="32" t="inlineStr">
        <is>
          <t>Field walk</t>
        </is>
      </c>
      <c r="F16" s="32" t="inlineStr">
        <is>
          <t>Count them</t>
        </is>
      </c>
      <c r="G16" s="32" t="n">
        <v>0</v>
      </c>
      <c r="H16" s="32" t="n">
        <v>81</v>
      </c>
    </row>
    <row r="17">
      <c r="A17" s="32" t="n">
        <v>13</v>
      </c>
      <c r="B17" s="34" t="inlineStr">
        <is>
          <t>2  Checks, alerts, app</t>
        </is>
      </c>
      <c r="C17" s="32" t="inlineStr">
        <is>
          <t>Pivot make</t>
        </is>
      </c>
      <c r="D17" s="32" t="inlineStr">
        <is>
          <t>Decides which telemetry and controls fit.</t>
        </is>
      </c>
      <c r="E17" s="32" t="inlineStr">
        <is>
          <t>Field walk</t>
        </is>
      </c>
      <c r="F17" s="32" t="inlineStr">
        <is>
          <t>Data plate at the pivot point</t>
        </is>
      </c>
      <c r="G17" s="32" t="n">
        <v>0</v>
      </c>
      <c r="H17" s="32" t="n">
        <v>81</v>
      </c>
    </row>
    <row r="18">
      <c r="A18" s="32" t="n">
        <v>14</v>
      </c>
      <c r="B18" s="34" t="inlineStr">
        <is>
          <t>2  Checks, alerts, app</t>
        </is>
      </c>
      <c r="C18" s="32" t="inlineStr">
        <is>
          <t>Model</t>
        </is>
      </c>
      <c r="D18" s="32" t="inlineStr">
        <is>
          <t>e.g. Valley 8000, Zimmatic 9500.</t>
        </is>
      </c>
      <c r="E18" s="32" t="inlineStr">
        <is>
          <t>Field walk</t>
        </is>
      </c>
      <c r="F18" s="32" t="inlineStr">
        <is>
          <t>Data plate</t>
        </is>
      </c>
      <c r="G18" s="32" t="n">
        <v>0</v>
      </c>
      <c r="H18" s="32" t="n">
        <v>81</v>
      </c>
    </row>
    <row r="19">
      <c r="A19" s="32" t="n">
        <v>15</v>
      </c>
      <c r="B19" s="34" t="inlineStr">
        <is>
          <t>2  Checks, alerts, app</t>
        </is>
      </c>
      <c r="C19" s="32" t="inlineStr">
        <is>
          <t>Control panel</t>
        </is>
      </c>
      <c r="D19" s="32" t="inlineStr">
        <is>
          <t>What the app can read and what can be added.</t>
        </is>
      </c>
      <c r="E19" s="32" t="inlineStr">
        <is>
          <t>Field walk</t>
        </is>
      </c>
      <c r="F19" s="32" t="inlineStr">
        <is>
          <t>Photo of the panel</t>
        </is>
      </c>
      <c r="G19" s="32" t="n">
        <v>0</v>
      </c>
      <c r="H19" s="32" t="n">
        <v>81</v>
      </c>
    </row>
    <row r="20">
      <c r="A20" s="32" t="n">
        <v>16</v>
      </c>
      <c r="B20" s="34" t="inlineStr">
        <is>
          <t>2  Checks, alerts, app</t>
        </is>
      </c>
      <c r="C20" s="32" t="inlineStr">
        <is>
          <t>Crop Link model</t>
        </is>
      </c>
      <c r="D20" s="32" t="inlineStr">
        <is>
          <t>Lite has one input, so a flow meter and rain gauge cannot both be added.</t>
        </is>
      </c>
      <c r="E20" s="32" t="inlineStr">
        <is>
          <t>Dealer / AgSense web</t>
        </is>
      </c>
      <c r="F20" s="32" t="inlineStr">
        <is>
          <t>AgSense dealer, or the unit label</t>
        </is>
      </c>
      <c r="G20" s="32" t="n">
        <v>0</v>
      </c>
      <c r="H20" s="32" t="n">
        <v>81</v>
      </c>
    </row>
    <row r="21">
      <c r="A21" s="32" t="n">
        <v>17</v>
      </c>
      <c r="B21" s="34" t="inlineStr">
        <is>
          <t>2  Checks, alerts, app</t>
        </is>
      </c>
      <c r="C21" s="32" t="inlineStr">
        <is>
          <t>Flow meter</t>
        </is>
      </c>
      <c r="D21" s="32" t="inlineStr">
        <is>
          <t>Metered gallons replace typed-in gpm.</t>
        </is>
      </c>
      <c r="E21" s="32" t="inlineStr">
        <is>
          <t>Field walk</t>
        </is>
      </c>
      <c r="F21" s="32" t="inlineStr">
        <is>
          <t>Look on the pipe near the pivot point</t>
        </is>
      </c>
      <c r="G21" s="32" t="n">
        <v>0</v>
      </c>
      <c r="H21" s="32" t="n">
        <v>81</v>
      </c>
    </row>
    <row r="22">
      <c r="A22" s="32" t="n">
        <v>18</v>
      </c>
      <c r="B22" s="34" t="inlineStr">
        <is>
          <t>2  Checks, alerts, app</t>
        </is>
      </c>
      <c r="C22" s="32" t="inlineStr">
        <is>
          <t>Pressure transducer</t>
        </is>
      </c>
      <c r="D22" s="32" t="inlineStr">
        <is>
          <t>Needed for pressure alerts.</t>
        </is>
      </c>
      <c r="E22" s="32" t="inlineStr">
        <is>
          <t>Field walk / Dealer</t>
        </is>
      </c>
      <c r="F22" s="32" t="inlineStr">
        <is>
          <t>Look at the pivot point</t>
        </is>
      </c>
      <c r="G22" s="32" t="n">
        <v>0</v>
      </c>
      <c r="H22" s="32" t="n">
        <v>81</v>
      </c>
    </row>
    <row r="23">
      <c r="A23" s="32" t="n">
        <v>19</v>
      </c>
      <c r="B23" s="34" t="inlineStr">
        <is>
          <t>2  Checks, alerts, app</t>
        </is>
      </c>
      <c r="C23" s="32" t="inlineStr">
        <is>
          <t>Rain gauge</t>
        </is>
      </c>
      <c r="D23" s="32" t="inlineStr">
        <is>
          <t>On-pivot rain beats radar.</t>
        </is>
      </c>
      <c r="E23" s="32" t="inlineStr">
        <is>
          <t>Field walk</t>
        </is>
      </c>
      <c r="F23" s="32" t="inlineStr">
        <is>
          <t>Look on the pivot</t>
        </is>
      </c>
      <c r="G23" s="32" t="n">
        <v>0</v>
      </c>
      <c r="H23" s="32" t="n">
        <v>81</v>
      </c>
    </row>
    <row r="24">
      <c r="A24" s="32" t="n">
        <v>20</v>
      </c>
      <c r="B24" s="34" t="inlineStr">
        <is>
          <t>2  Checks, alerts, app</t>
        </is>
      </c>
      <c r="C24" s="32" t="inlineStr">
        <is>
          <t>Position sensing</t>
        </is>
      </c>
      <c r="D24" s="32" t="inlineStr">
        <is>
          <t>Needed for end gun and depth by sector.</t>
        </is>
      </c>
      <c r="E24" s="32" t="inlineStr">
        <is>
          <t>Dealer</t>
        </is>
      </c>
      <c r="F24" s="32" t="inlineStr">
        <is>
          <t>AgSense dealer</t>
        </is>
      </c>
      <c r="G24" s="32" t="n">
        <v>0</v>
      </c>
      <c r="H24" s="32" t="n">
        <v>81</v>
      </c>
    </row>
    <row r="25">
      <c r="A25" s="32" t="n">
        <v>21</v>
      </c>
      <c r="B25" s="34" t="inlineStr">
        <is>
          <t>2  Checks, alerts, app</t>
        </is>
      </c>
      <c r="C25" s="32" t="inlineStr">
        <is>
          <t>Measured flow (gpm, date)</t>
        </is>
      </c>
      <c r="D25" s="32" t="inlineStr">
        <is>
          <t>The true gpm. Replaces design gpm in every calculation once known.</t>
        </is>
      </c>
      <c r="E25" s="32" t="inlineStr">
        <is>
          <t>MIL test (winter)</t>
        </is>
      </c>
      <c r="F25" s="32" t="inlineStr">
        <is>
          <t>UGA Mobile Irrigation Lab or a flow meter</t>
        </is>
      </c>
      <c r="G25" s="32" t="n">
        <v>0</v>
      </c>
      <c r="H25" s="32" t="n">
        <v>81</v>
      </c>
    </row>
    <row r="26">
      <c r="A26" s="32" t="n">
        <v>22</v>
      </c>
      <c r="B26" s="34" t="inlineStr">
        <is>
          <t>2  Checks, alerts, app</t>
        </is>
      </c>
      <c r="C26" s="32" t="inlineStr">
        <is>
          <t>Dealer</t>
        </is>
      </c>
      <c r="D26" s="32" t="inlineStr">
        <is>
          <t>Who to ask for the chart and parts.</t>
        </is>
      </c>
      <c r="E26" s="32" t="inlineStr">
        <is>
          <t>Office</t>
        </is>
      </c>
      <c r="F26" s="32" t="inlineStr">
        <is>
          <t>Bo</t>
        </is>
      </c>
      <c r="G26" s="32" t="n">
        <v>0</v>
      </c>
      <c r="H26" s="32" t="n">
        <v>81</v>
      </c>
    </row>
    <row r="27">
      <c r="A27" s="32" t="n">
        <v>23</v>
      </c>
      <c r="B27" s="34" t="inlineStr">
        <is>
          <t>2  Checks, alerts, app</t>
        </is>
      </c>
      <c r="C27" s="32" t="inlineStr">
        <is>
          <t>Well / intake ID</t>
        </is>
      </c>
      <c r="D27" s="32" t="inlineStr">
        <is>
          <t>Links pivots to wells, permits and meters.</t>
        </is>
      </c>
      <c r="E27" s="32" t="inlineStr">
        <is>
          <t>Office</t>
        </is>
      </c>
      <c r="F27" s="32" t="inlineStr">
        <is>
          <t>Bo: your name or number for the well or intake</t>
        </is>
      </c>
      <c r="G27" s="32" t="n">
        <v>0</v>
      </c>
      <c r="H27" s="32" t="n">
        <v>81</v>
      </c>
    </row>
    <row r="28">
      <c r="A28" s="32" t="n">
        <v>24</v>
      </c>
      <c r="B28" s="34" t="inlineStr">
        <is>
          <t>2  Checks, alerts, app</t>
        </is>
      </c>
      <c r="C28" s="32" t="inlineStr">
        <is>
          <t>Power source</t>
        </is>
      </c>
      <c r="D28" s="32" t="inlineStr">
        <is>
          <t>Needed for energy cost per acre-inch.</t>
        </is>
      </c>
      <c r="E28" s="32" t="inlineStr">
        <is>
          <t>Office</t>
        </is>
      </c>
      <c r="F28" s="32" t="inlineStr">
        <is>
          <t>Bo</t>
        </is>
      </c>
      <c r="G28" s="32" t="n">
        <v>0</v>
      </c>
      <c r="H28" s="32" t="n">
        <v>81</v>
      </c>
    </row>
    <row r="29">
      <c r="A29" s="32" t="n">
        <v>25</v>
      </c>
      <c r="B29" s="34" t="inlineStr">
        <is>
          <t>2  Checks, alerts, app</t>
        </is>
      </c>
      <c r="C29" s="32" t="inlineStr">
        <is>
          <t>Drive type</t>
        </is>
      </c>
      <c r="D29" s="32" t="inlineStr">
        <is>
          <t>Electric or hydraulic.</t>
        </is>
      </c>
      <c r="E29" s="32" t="inlineStr">
        <is>
          <t>Field walk</t>
        </is>
      </c>
      <c r="F29" s="32" t="inlineStr">
        <is>
          <t>Panel or towers</t>
        </is>
      </c>
      <c r="G29" s="32" t="n">
        <v>0</v>
      </c>
      <c r="H29" s="32" t="n">
        <v>81</v>
      </c>
    </row>
    <row r="30">
      <c r="A30" s="32" t="n">
        <v>26</v>
      </c>
      <c r="B30" s="35" t="inlineStr">
        <is>
          <t>3  Records &amp; reporting</t>
        </is>
      </c>
      <c r="C30" s="32" t="inlineStr">
        <is>
          <t>FSA farm # (FSN)</t>
        </is>
      </c>
      <c r="D30" s="32" t="inlineStr">
        <is>
          <t>FSA-578, EQIP and NRCS forms.</t>
        </is>
      </c>
      <c r="E30" s="32" t="inlineStr">
        <is>
          <t>Office</t>
        </is>
      </c>
      <c r="F30" s="32" t="inlineStr">
        <is>
          <t>Prefilled from Field Master 2026; confirm</t>
        </is>
      </c>
      <c r="G30" s="32" t="n">
        <v>0</v>
      </c>
      <c r="H30" s="32" t="n">
        <v>81</v>
      </c>
    </row>
    <row r="31">
      <c r="A31" s="32" t="n">
        <v>27</v>
      </c>
      <c r="B31" s="35" t="inlineStr">
        <is>
          <t>3  Records &amp; reporting</t>
        </is>
      </c>
      <c r="C31" s="32" t="inlineStr">
        <is>
          <t>FSA tract / CLU</t>
        </is>
      </c>
      <c r="D31" s="32" t="inlineStr">
        <is>
          <t>EQIP and NRCS forms.</t>
        </is>
      </c>
      <c r="E31" s="32" t="inlineStr">
        <is>
          <t>Office</t>
        </is>
      </c>
      <c r="F31" s="32" t="inlineStr">
        <is>
          <t>FSA-578 or FSA maps</t>
        </is>
      </c>
      <c r="G31" s="32" t="n">
        <v>0</v>
      </c>
      <c r="H31" s="32" t="n">
        <v>81</v>
      </c>
    </row>
    <row r="32">
      <c r="A32" s="32" t="n">
        <v>28</v>
      </c>
      <c r="B32" s="35" t="inlineStr">
        <is>
          <t>3  Records &amp; reporting</t>
        </is>
      </c>
      <c r="C32" s="32" t="inlineStr">
        <is>
          <t>GA EPD withdrawal permit #</t>
        </is>
      </c>
      <c r="D32" s="32" t="inlineStr">
        <is>
          <t>Water-use reporting.</t>
        </is>
      </c>
      <c r="E32" s="32" t="inlineStr">
        <is>
          <t>Office</t>
        </is>
      </c>
      <c r="F32" s="32" t="inlineStr">
        <is>
          <t>EPD permit papers</t>
        </is>
      </c>
      <c r="G32" s="32" t="n">
        <v>0</v>
      </c>
      <c r="H32" s="32" t="n">
        <v>81</v>
      </c>
    </row>
    <row r="33">
      <c r="A33" s="32" t="n">
        <v>29</v>
      </c>
      <c r="B33" s="35" t="inlineStr">
        <is>
          <t>3  Records &amp; reporting</t>
        </is>
      </c>
      <c r="C33" s="32" t="inlineStr">
        <is>
          <t>State ag water meter ID</t>
        </is>
      </c>
      <c r="D33" s="32" t="inlineStr">
        <is>
          <t>Water-use reporting; meter reads check our gallons.</t>
        </is>
      </c>
      <c r="E33" s="32" t="inlineStr">
        <is>
          <t>Field walk</t>
        </is>
      </c>
      <c r="F33" s="32" t="inlineStr">
        <is>
          <t>Tag on the state meter</t>
        </is>
      </c>
      <c r="G33" s="32" t="n">
        <v>0</v>
      </c>
      <c r="H33" s="32" t="n">
        <v>81</v>
      </c>
    </row>
    <row r="34">
      <c r="A34" s="32" t="n">
        <v>30</v>
      </c>
      <c r="B34" s="35" t="inlineStr">
        <is>
          <t>3  Records &amp; reporting</t>
        </is>
      </c>
      <c r="C34" s="32" t="inlineStr">
        <is>
          <t>Power supplier / meter #</t>
        </is>
      </c>
      <c r="D34" s="32" t="inlineStr">
        <is>
          <t>Ties energy cost to each pivot.</t>
        </is>
      </c>
      <c r="E34" s="32" t="inlineStr">
        <is>
          <t>Office</t>
        </is>
      </c>
      <c r="F34" s="32" t="inlineStr">
        <is>
          <t>Power bill or fuel records</t>
        </is>
      </c>
      <c r="G34" s="32" t="n">
        <v>0</v>
      </c>
      <c r="H34" s="32" t="n">
        <v>81</v>
      </c>
    </row>
    <row r="35">
      <c r="A35" s="32" t="n">
        <v>31</v>
      </c>
      <c r="B35" s="35" t="inlineStr">
        <is>
          <t>3  Records &amp; reporting</t>
        </is>
      </c>
      <c r="C35" s="32" t="inlineStr">
        <is>
          <t>Install year</t>
        </is>
      </c>
      <c r="D35" s="32" t="inlineStr">
        <is>
          <t>EQIP ranks by system age.</t>
        </is>
      </c>
      <c r="E35" s="32" t="inlineStr">
        <is>
          <t>Field walk / Dealer</t>
        </is>
      </c>
      <c r="F35" s="32" t="inlineStr">
        <is>
          <t>Data plate or dealer</t>
        </is>
      </c>
      <c r="G35" s="32" t="n">
        <v>0</v>
      </c>
      <c r="H35" s="32" t="n">
        <v>81</v>
      </c>
    </row>
    <row r="36">
      <c r="A36" s="32" t="n">
        <v>32</v>
      </c>
      <c r="B36" s="35" t="inlineStr">
        <is>
          <t>3  Records &amp; reporting</t>
        </is>
      </c>
      <c r="C36" s="32" t="inlineStr">
        <is>
          <t>Pivot serial / order #</t>
        </is>
      </c>
      <c r="D36" s="32" t="inlineStr">
        <is>
          <t>Identifies the machine with the dealer.</t>
        </is>
      </c>
      <c r="E36" s="32" t="inlineStr">
        <is>
          <t>Field walk</t>
        </is>
      </c>
      <c r="F36" s="32" t="inlineStr">
        <is>
          <t>Data plate</t>
        </is>
      </c>
      <c r="G36" s="32" t="n">
        <v>0</v>
      </c>
      <c r="H36" s="32" t="n">
        <v>81</v>
      </c>
    </row>
    <row r="37">
      <c r="A37" s="32" t="n">
        <v>33</v>
      </c>
      <c r="B37" s="35" t="inlineStr">
        <is>
          <t>3  Records &amp; reporting</t>
        </is>
      </c>
      <c r="C37" s="32" t="inlineStr">
        <is>
          <t>Pump type</t>
        </is>
      </c>
      <c r="D37" s="32" t="inlineStr">
        <is>
          <t>Energy and repair planning.</t>
        </is>
      </c>
      <c r="E37" s="32" t="inlineStr">
        <is>
          <t>Field walk</t>
        </is>
      </c>
      <c r="F37" s="32" t="inlineStr">
        <is>
          <t>Pump plate</t>
        </is>
      </c>
      <c r="G37" s="32" t="n">
        <v>0</v>
      </c>
      <c r="H37" s="32" t="n">
        <v>81</v>
      </c>
    </row>
    <row r="38">
      <c r="A38" s="32" t="n">
        <v>34</v>
      </c>
      <c r="B38" s="35" t="inlineStr">
        <is>
          <t>3  Records &amp; reporting</t>
        </is>
      </c>
      <c r="C38" s="32" t="inlineStr">
        <is>
          <t>Pump/motor hp</t>
        </is>
      </c>
      <c r="D38" s="32" t="inlineStr">
        <is>
          <t>Energy cost per acre-inch.</t>
        </is>
      </c>
      <c r="E38" s="32" t="inlineStr">
        <is>
          <t>Field walk</t>
        </is>
      </c>
      <c r="F38" s="32" t="inlineStr">
        <is>
          <t>Motor plate</t>
        </is>
      </c>
      <c r="G38" s="32" t="n">
        <v>0</v>
      </c>
      <c r="H38" s="32" t="n">
        <v>81</v>
      </c>
    </row>
    <row r="39">
      <c r="A39" s="32" t="n">
        <v>35</v>
      </c>
      <c r="B39" s="35" t="inlineStr">
        <is>
          <t>3  Records &amp; reporting</t>
        </is>
      </c>
      <c r="C39" s="32" t="inlineStr">
        <is>
          <t>Well depth / aquifer</t>
        </is>
      </c>
      <c r="D39" s="32" t="inlineStr">
        <is>
          <t>Drought risk and permits.</t>
        </is>
      </c>
      <c r="E39" s="32" t="inlineStr">
        <is>
          <t>Office</t>
        </is>
      </c>
      <c r="F39" s="32" t="inlineStr">
        <is>
          <t>Well log</t>
        </is>
      </c>
      <c r="G39" s="32" t="n">
        <v>0</v>
      </c>
      <c r="H39" s="32" t="n">
        <v>81</v>
      </c>
    </row>
    <row r="40">
      <c r="A40" s="32" t="n">
        <v>36</v>
      </c>
      <c r="B40" s="35" t="inlineStr">
        <is>
          <t>3  Records &amp; reporting</t>
        </is>
      </c>
      <c r="C40" s="32" t="inlineStr">
        <is>
          <t>EQIP / CSP history</t>
        </is>
      </c>
      <c r="D40" s="32" t="inlineStr">
        <is>
          <t>EQIP eligibility and ranking.</t>
        </is>
      </c>
      <c r="E40" s="32" t="inlineStr">
        <is>
          <t>Office</t>
        </is>
      </c>
      <c r="F40" s="32" t="inlineStr">
        <is>
          <t>NRCS contracts</t>
        </is>
      </c>
      <c r="G40" s="32" t="n">
        <v>0</v>
      </c>
      <c r="H40" s="32" t="n">
        <v>81</v>
      </c>
    </row>
    <row r="41">
      <c r="A41" s="32" t="n">
        <v>37</v>
      </c>
      <c r="B41" s="35" t="inlineStr">
        <is>
          <t>3  Records &amp; reporting</t>
        </is>
      </c>
      <c r="C41" s="32" t="inlineStr">
        <is>
          <t>Irrigated 2 of last 5 yrs</t>
        </is>
      </c>
      <c r="D41" s="32" t="inlineStr">
        <is>
          <t>EQIP eligibility.</t>
        </is>
      </c>
      <c r="E41" s="32" t="inlineStr">
        <is>
          <t>Office</t>
        </is>
      </c>
      <c r="F41" s="32" t="inlineStr">
        <is>
          <t>Bo / FSA-578</t>
        </is>
      </c>
      <c r="G41" s="32" t="n">
        <v>0</v>
      </c>
      <c r="H41" s="32" t="n">
        <v>81</v>
      </c>
    </row>
    <row r="42">
      <c r="A42" s="32" t="n">
        <v>38</v>
      </c>
      <c r="B42" s="36" t="inlineStr">
        <is>
          <t>4  Maintenance</t>
        </is>
      </c>
      <c r="C42" s="32" t="inlineStr">
        <is>
          <t>Sprinkler chart on file</t>
        </is>
      </c>
      <c r="D42" s="32" t="inlineStr">
        <is>
          <t>So the chart can be read when nozzles are replaced.</t>
        </is>
      </c>
      <c r="E42" s="32" t="inlineStr">
        <is>
          <t>Office</t>
        </is>
      </c>
      <c r="F42" s="32" t="inlineStr">
        <is>
          <t>Yes/No and where the photo lives</t>
        </is>
      </c>
      <c r="G42" s="32" t="n">
        <v>0</v>
      </c>
      <c r="H42" s="32" t="n">
        <v>81</v>
      </c>
    </row>
    <row r="43">
      <c r="A43" s="32" t="n">
        <v>39</v>
      </c>
      <c r="B43" s="36" t="inlineStr">
        <is>
          <t>4  Maintenance</t>
        </is>
      </c>
      <c r="C43" s="32" t="inlineStr">
        <is>
          <t>Package install year</t>
        </is>
      </c>
      <c r="D43" s="32" t="inlineStr">
        <is>
          <t>Worn nozzles drift off the chart gpm.</t>
        </is>
      </c>
      <c r="E43" s="32" t="inlineStr">
        <is>
          <t>Office / Dealer</t>
        </is>
      </c>
      <c r="F43" s="32" t="inlineStr">
        <is>
          <t>When nozzles were last replaced</t>
        </is>
      </c>
      <c r="G43" s="32" t="n">
        <v>0</v>
      </c>
      <c r="H43" s="32" t="n">
        <v>81</v>
      </c>
    </row>
    <row r="44">
      <c r="A44" s="32" t="n">
        <v>40</v>
      </c>
      <c r="B44" s="36" t="inlineStr">
        <is>
          <t>4  Maintenance</t>
        </is>
      </c>
      <c r="C44" s="32" t="inlineStr">
        <is>
          <t>Pressure regulators (psi)</t>
        </is>
      </c>
      <c r="D44" s="32" t="inlineStr">
        <is>
          <t>Explains pressure and gpm readings.</t>
        </is>
      </c>
      <c r="E44" s="32" t="inlineStr">
        <is>
          <t>Dealer / Field walk</t>
        </is>
      </c>
      <c r="F44" s="32" t="inlineStr">
        <is>
          <t>Sprinkler chart or regulator label</t>
        </is>
      </c>
      <c r="G44" s="32" t="n">
        <v>0</v>
      </c>
      <c r="H44" s="32" t="n">
        <v>81</v>
      </c>
    </row>
    <row r="45">
      <c r="A45" s="32" t="n">
        <v>41</v>
      </c>
      <c r="B45" s="36" t="inlineStr">
        <is>
          <t>4  Maintenance</t>
        </is>
      </c>
      <c r="C45" s="32" t="inlineStr">
        <is>
          <t>End gun on-arc / booster</t>
        </is>
      </c>
      <c r="D45" s="32" t="inlineStr">
        <is>
          <t>Which sectors get end gun water.</t>
        </is>
      </c>
      <c r="E45" s="32" t="inlineStr">
        <is>
          <t>Field walk</t>
        </is>
      </c>
      <c r="F45" s="32" t="inlineStr">
        <is>
          <t>Crew: sectors where it runs; booster pump yes/no</t>
        </is>
      </c>
      <c r="G45" s="32" t="n">
        <v>0</v>
      </c>
      <c r="H45" s="32" t="n">
        <v>81</v>
      </c>
    </row>
    <row r="46">
      <c r="A46" s="32" t="n">
        <v>42</v>
      </c>
      <c r="B46" s="36" t="inlineStr">
        <is>
          <t>4  Maintenance</t>
        </is>
      </c>
      <c r="C46" s="32" t="inlineStr">
        <is>
          <t>Corner arm / swing arm</t>
        </is>
      </c>
      <c r="D46" s="32" t="inlineStr">
        <is>
          <t>Corners change acres by sector.</t>
        </is>
      </c>
      <c r="E46" s="32" t="inlineStr">
        <is>
          <t>Field walk</t>
        </is>
      </c>
      <c r="F46" s="32" t="inlineStr">
        <is>
          <t>Look</t>
        </is>
      </c>
      <c r="G46" s="32" t="n">
        <v>0</v>
      </c>
      <c r="H46" s="32" t="n">
        <v>81</v>
      </c>
    </row>
    <row r="47">
      <c r="A47" s="32" t="n">
        <v>43</v>
      </c>
      <c r="B47" s="36" t="inlineStr">
        <is>
          <t>4  Maintenance</t>
        </is>
      </c>
      <c r="C47" s="32" t="inlineStr">
        <is>
          <t>VRI (speed / zone)</t>
        </is>
      </c>
      <c r="D47" s="32" t="inlineStr">
        <is>
          <t>Whether rates can vary across the field.</t>
        </is>
      </c>
      <c r="E47" s="32" t="inlineStr">
        <is>
          <t>Dealer</t>
        </is>
      </c>
      <c r="F47" s="32" t="inlineStr">
        <is>
          <t>Dealer</t>
        </is>
      </c>
      <c r="G47" s="32" t="n">
        <v>0</v>
      </c>
      <c r="H47" s="32" t="n">
        <v>81</v>
      </c>
    </row>
    <row r="48">
      <c r="A48" s="32" t="n">
        <v>44</v>
      </c>
      <c r="B48" s="36" t="inlineStr">
        <is>
          <t>4  Maintenance</t>
        </is>
      </c>
      <c r="C48" s="32" t="inlineStr">
        <is>
          <t>Measured pressure (psi, date)</t>
        </is>
      </c>
      <c r="D48" s="32" t="inlineStr">
        <is>
          <t>Checks the pressure baseline.</t>
        </is>
      </c>
      <c r="E48" s="32" t="inlineStr">
        <is>
          <t>MIL test (winter)</t>
        </is>
      </c>
      <c r="F48" s="32" t="inlineStr">
        <is>
          <t>Mobile Irrigation Lab</t>
        </is>
      </c>
      <c r="G48" s="32" t="n">
        <v>0</v>
      </c>
      <c r="H48" s="32" t="n">
        <v>81</v>
      </c>
    </row>
    <row r="49">
      <c r="A49" s="32" t="n">
        <v>45</v>
      </c>
      <c r="B49" s="36" t="inlineStr">
        <is>
          <t>4  Maintenance</t>
        </is>
      </c>
      <c r="C49" s="32" t="inlineStr">
        <is>
          <t>Last uniformity test (date, CU %)</t>
        </is>
      </c>
      <c r="D49" s="32" t="inlineStr">
        <is>
          <t>Uneven pivots need more water to cover the dry spots.</t>
        </is>
      </c>
      <c r="E49" s="32" t="inlineStr">
        <is>
          <t>MIL test (winter)</t>
        </is>
      </c>
      <c r="F49" s="32" t="inlineStr">
        <is>
          <t>Mobile Irrigation Lab</t>
        </is>
      </c>
      <c r="G49" s="32" t="n">
        <v>0</v>
      </c>
      <c r="H49" s="32" t="n">
        <v>81</v>
      </c>
    </row>
    <row r="50">
      <c r="A50" s="32" t="n">
        <v>46</v>
      </c>
      <c r="B50" s="36" t="inlineStr">
        <is>
          <t>4  Maintenance</t>
        </is>
      </c>
      <c r="C50" s="32" t="inlineStr">
        <is>
          <t>Known problems</t>
        </is>
      </c>
      <c r="D50" s="32" t="inlineStr">
        <is>
          <t>Leaks, ruts, stuck towers, worn nozzles.</t>
        </is>
      </c>
      <c r="E50" s="32" t="inlineStr">
        <is>
          <t>Field walk</t>
        </is>
      </c>
      <c r="F50" s="32" t="inlineStr">
        <is>
          <t>Crew</t>
        </is>
      </c>
      <c r="G50" s="32" t="n">
        <v>0</v>
      </c>
      <c r="H50" s="32" t="n">
        <v>81</v>
      </c>
    </row>
    <row r="51">
      <c r="A51" s="32" t="n">
        <v>47</v>
      </c>
      <c r="B51" s="36" t="inlineStr">
        <is>
          <t>4  Maintenance</t>
        </is>
      </c>
      <c r="C51" s="32" t="inlineStr">
        <is>
          <t>Last service / repair</t>
        </is>
      </c>
      <c r="D51" s="32" t="inlineStr">
        <is>
          <t>Date and what was done.</t>
        </is>
      </c>
      <c r="E51" s="32" t="inlineStr">
        <is>
          <t>Field walk</t>
        </is>
      </c>
      <c r="F51" s="32" t="inlineStr">
        <is>
          <t>Crew / dealer</t>
        </is>
      </c>
      <c r="G51" s="32" t="n">
        <v>0</v>
      </c>
      <c r="H51" s="32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50" customWidth="1" min="3" max="3"/>
    <col width="40" customWidth="1" min="4" max="4"/>
  </cols>
  <sheetData>
    <row r="1">
      <c r="A1" s="31" t="inlineStr">
        <is>
          <t>One trip per source: what to ask for or look at</t>
        </is>
      </c>
    </row>
    <row r="3">
      <c r="A3" s="37" t="inlineStr">
        <is>
          <t>Dealer</t>
        </is>
      </c>
    </row>
    <row r="4" ht="48" customHeight="1">
      <c r="A4" s="3" t="inlineStr">
        <is>
          <t>One email or call per dealer (Valley, Zimmatic, Reinke). Ask for the sprinkler chart (design printout) for each pivot, plus the AgSense unit details for the pivots on AgSense. A chart answers most of Tier 1 and 2 at once.</t>
        </is>
      </c>
    </row>
    <row r="5">
      <c r="A5" s="38" t="inlineStr">
        <is>
          <t>Field</t>
        </is>
      </c>
      <c r="B5" s="38" t="inlineStr">
        <is>
          <t>Tier</t>
        </is>
      </c>
      <c r="C5" s="38" t="inlineStr">
        <is>
          <t>Where to find it</t>
        </is>
      </c>
      <c r="D5" s="38" t="n"/>
    </row>
    <row r="6">
      <c r="A6" s="32" t="inlineStr">
        <is>
          <t>Irrigated acres (design or FSA)</t>
        </is>
      </c>
      <c r="B6" s="32" t="n">
        <v>1</v>
      </c>
      <c r="C6" s="32" t="inlineStr">
        <is>
          <t>Sprinkler chart (design acres) or FSA-578</t>
        </is>
      </c>
      <c r="D6" s="32" t="n"/>
    </row>
    <row r="7">
      <c r="A7" s="32" t="inlineStr">
        <is>
          <t>Design flow (gpm)</t>
        </is>
      </c>
      <c r="B7" s="32" t="n">
        <v>1</v>
      </c>
      <c r="C7" s="32" t="inlineStr">
        <is>
          <t>Sprinkler chart, often taped inside the panel door</t>
        </is>
      </c>
      <c r="D7" s="32" t="n"/>
    </row>
    <row r="8">
      <c r="A8" s="32" t="inlineStr">
        <is>
          <t>Hours per rev at 100%</t>
        </is>
      </c>
      <c r="B8" s="32" t="n">
        <v>1</v>
      </c>
      <c r="C8" s="32" t="inlineStr">
        <is>
          <t>Sprinkler chart, panel, or the AgSense unit settings</t>
        </is>
      </c>
      <c r="D8" s="32" t="n"/>
    </row>
    <row r="9">
      <c r="A9" s="32" t="inlineStr">
        <is>
          <t>End gun (Y/N, model)</t>
        </is>
      </c>
      <c r="B9" s="32" t="n">
        <v>1</v>
      </c>
      <c r="C9" s="32" t="inlineStr">
        <is>
          <t>Sprinkler chart or look at the last tower</t>
        </is>
      </c>
      <c r="D9" s="32" t="n"/>
    </row>
    <row r="10">
      <c r="A10" s="32" t="inlineStr">
        <is>
          <t>Sprinkler package</t>
        </is>
      </c>
      <c r="B10" s="32" t="n">
        <v>1</v>
      </c>
      <c r="C10" s="32" t="inlineStr">
        <is>
          <t>Sprinkler chart; or look: drops, on top, LEPA</t>
        </is>
      </c>
      <c r="D10" s="32" t="n"/>
    </row>
    <row r="11">
      <c r="A11" s="32" t="inlineStr">
        <is>
          <t>Design pressure (psi)</t>
        </is>
      </c>
      <c r="B11" s="32" t="n">
        <v>2</v>
      </c>
      <c r="C11" s="32" t="inlineStr">
        <is>
          <t>Sprinkler chart</t>
        </is>
      </c>
      <c r="D11" s="32" t="n"/>
    </row>
    <row r="12">
      <c r="A12" s="32" t="inlineStr">
        <is>
          <t>Wetted radius incl. end gun (ft)</t>
        </is>
      </c>
      <c r="B12" s="32" t="n">
        <v>2</v>
      </c>
      <c r="C12" s="32" t="inlineStr">
        <is>
          <t>Sprinkler chart</t>
        </is>
      </c>
      <c r="D12" s="32" t="n"/>
    </row>
    <row r="13">
      <c r="A13" s="32" t="inlineStr">
        <is>
          <t>Length to last tower (ft)</t>
        </is>
      </c>
      <c r="B13" s="32" t="n">
        <v>2</v>
      </c>
      <c r="C13" s="32" t="inlineStr">
        <is>
          <t>Sprinkler chart</t>
        </is>
      </c>
      <c r="D13" s="32" t="n"/>
    </row>
    <row r="14">
      <c r="A14" s="32" t="inlineStr">
        <is>
          <t>Crop Link model</t>
        </is>
      </c>
      <c r="B14" s="32" t="n">
        <v>2</v>
      </c>
      <c r="C14" s="32" t="inlineStr">
        <is>
          <t>AgSense dealer, or the unit label</t>
        </is>
      </c>
      <c r="D14" s="32" t="n"/>
    </row>
    <row r="15">
      <c r="A15" s="32" t="inlineStr">
        <is>
          <t>Pressure transducer</t>
        </is>
      </c>
      <c r="B15" s="32" t="n">
        <v>2</v>
      </c>
      <c r="C15" s="32" t="inlineStr">
        <is>
          <t>Look at the pivot point</t>
        </is>
      </c>
      <c r="D15" s="32" t="n"/>
    </row>
    <row r="16">
      <c r="A16" s="32" t="inlineStr">
        <is>
          <t>Position sensing</t>
        </is>
      </c>
      <c r="B16" s="32" t="n">
        <v>2</v>
      </c>
      <c r="C16" s="32" t="inlineStr">
        <is>
          <t>AgSense dealer</t>
        </is>
      </c>
      <c r="D16" s="32" t="n"/>
    </row>
    <row r="17">
      <c r="A17" s="32" t="inlineStr">
        <is>
          <t>Install year</t>
        </is>
      </c>
      <c r="B17" s="32" t="n">
        <v>3</v>
      </c>
      <c r="C17" s="32" t="inlineStr">
        <is>
          <t>Data plate or dealer</t>
        </is>
      </c>
      <c r="D17" s="32" t="n"/>
    </row>
    <row r="18">
      <c r="A18" s="32" t="inlineStr">
        <is>
          <t>Package install year</t>
        </is>
      </c>
      <c r="B18" s="32" t="n">
        <v>4</v>
      </c>
      <c r="C18" s="32" t="inlineStr">
        <is>
          <t>When nozzles were last replaced</t>
        </is>
      </c>
      <c r="D18" s="32" t="n"/>
    </row>
    <row r="19">
      <c r="A19" s="32" t="inlineStr">
        <is>
          <t>Pressure regulators (psi)</t>
        </is>
      </c>
      <c r="B19" s="32" t="n">
        <v>4</v>
      </c>
      <c r="C19" s="32" t="inlineStr">
        <is>
          <t>Sprinkler chart or regulator label</t>
        </is>
      </c>
      <c r="D19" s="32" t="n"/>
    </row>
    <row r="20">
      <c r="A20" s="32" t="inlineStr">
        <is>
          <t>VRI (speed / zone)</t>
        </is>
      </c>
      <c r="B20" s="32" t="n">
        <v>4</v>
      </c>
      <c r="C20" s="32" t="inlineStr">
        <is>
          <t>Dealer</t>
        </is>
      </c>
      <c r="D20" s="32" t="n"/>
    </row>
    <row r="22">
      <c r="A22" s="37" t="inlineStr">
        <is>
          <t>Field walk</t>
        </is>
      </c>
    </row>
    <row r="23" ht="48" customHeight="1">
      <c r="A23" s="3" t="inlineStr">
        <is>
          <t>One stop per pivot, about 5 minutes. Take 5 photos: data plate at the pivot point, control panel (door open), sprinkler chart if it is in the panel, pump/motor plate, state water meter tag. Count towers, note the stops, end gun and any problems. Name photos '&lt;pivot&gt; - plate.jpg' etc. and upload them to the project; Claude reads them into this sheet.</t>
        </is>
      </c>
    </row>
    <row r="24">
      <c r="A24" s="38" t="inlineStr">
        <is>
          <t>Field</t>
        </is>
      </c>
      <c r="B24" s="38" t="inlineStr">
        <is>
          <t>Tier</t>
        </is>
      </c>
      <c r="C24" s="38" t="inlineStr">
        <is>
          <t>Where to find it</t>
        </is>
      </c>
      <c r="D24" s="38" t="n"/>
    </row>
    <row r="25">
      <c r="A25" s="32" t="inlineStr">
        <is>
          <t>Design flow (gpm)</t>
        </is>
      </c>
      <c r="B25" s="32" t="n">
        <v>1</v>
      </c>
      <c r="C25" s="32" t="inlineStr">
        <is>
          <t>Sprinkler chart, often taped inside the panel door</t>
        </is>
      </c>
      <c r="D25" s="32" t="n"/>
    </row>
    <row r="26">
      <c r="A26" s="32" t="inlineStr">
        <is>
          <t>Hours per rev at 100%</t>
        </is>
      </c>
      <c r="B26" s="32" t="n">
        <v>1</v>
      </c>
      <c r="C26" s="32" t="inlineStr">
        <is>
          <t>Sprinkler chart, panel, or the AgSense unit settings</t>
        </is>
      </c>
      <c r="D26" s="32" t="n"/>
    </row>
    <row r="27">
      <c r="A27" s="32" t="inlineStr">
        <is>
          <t>Full or part circle (deg)</t>
        </is>
      </c>
      <c r="B27" s="32" t="n">
        <v>1</v>
      </c>
      <c r="C27" s="32" t="inlineStr">
        <is>
          <t>Crew: 360, or the degrees between the stops</t>
        </is>
      </c>
      <c r="D27" s="32" t="n"/>
    </row>
    <row r="28">
      <c r="A28" s="32" t="inlineStr">
        <is>
          <t>End gun (Y/N, model)</t>
        </is>
      </c>
      <c r="B28" s="32" t="n">
        <v>1</v>
      </c>
      <c r="C28" s="32" t="inlineStr">
        <is>
          <t>Sprinkler chart or look at the last tower</t>
        </is>
      </c>
      <c r="D28" s="32" t="n"/>
    </row>
    <row r="29">
      <c r="A29" s="32" t="inlineStr">
        <is>
          <t>Sprinkler package</t>
        </is>
      </c>
      <c r="B29" s="32" t="n">
        <v>1</v>
      </c>
      <c r="C29" s="32" t="inlineStr">
        <is>
          <t>Sprinkler chart; or look: drops, on top, LEPA</t>
        </is>
      </c>
      <c r="D29" s="32" t="n"/>
    </row>
    <row r="30">
      <c r="A30" s="32" t="inlineStr">
        <is>
          <t>Design pressure (psi)</t>
        </is>
      </c>
      <c r="B30" s="32" t="n">
        <v>2</v>
      </c>
      <c r="C30" s="32" t="inlineStr">
        <is>
          <t>Sprinkler chart</t>
        </is>
      </c>
      <c r="D30" s="32" t="n"/>
    </row>
    <row r="31">
      <c r="A31" s="32" t="inlineStr">
        <is>
          <t>Towers (#)</t>
        </is>
      </c>
      <c r="B31" s="32" t="n">
        <v>2</v>
      </c>
      <c r="C31" s="32" t="inlineStr">
        <is>
          <t>Count them</t>
        </is>
      </c>
      <c r="D31" s="32" t="n"/>
    </row>
    <row r="32">
      <c r="A32" s="32" t="inlineStr">
        <is>
          <t>Pivot make</t>
        </is>
      </c>
      <c r="B32" s="32" t="n">
        <v>2</v>
      </c>
      <c r="C32" s="32" t="inlineStr">
        <is>
          <t>Data plate at the pivot point</t>
        </is>
      </c>
      <c r="D32" s="32" t="n"/>
    </row>
    <row r="33">
      <c r="A33" s="32" t="inlineStr">
        <is>
          <t>Model</t>
        </is>
      </c>
      <c r="B33" s="32" t="n">
        <v>2</v>
      </c>
      <c r="C33" s="32" t="inlineStr">
        <is>
          <t>Data plate</t>
        </is>
      </c>
      <c r="D33" s="32" t="n"/>
    </row>
    <row r="34">
      <c r="A34" s="32" t="inlineStr">
        <is>
          <t>Control panel</t>
        </is>
      </c>
      <c r="B34" s="32" t="n">
        <v>2</v>
      </c>
      <c r="C34" s="32" t="inlineStr">
        <is>
          <t>Photo of the panel</t>
        </is>
      </c>
      <c r="D34" s="32" t="n"/>
    </row>
    <row r="35">
      <c r="A35" s="32" t="inlineStr">
        <is>
          <t>Flow meter</t>
        </is>
      </c>
      <c r="B35" s="32" t="n">
        <v>2</v>
      </c>
      <c r="C35" s="32" t="inlineStr">
        <is>
          <t>Look on the pipe near the pivot point</t>
        </is>
      </c>
      <c r="D35" s="32" t="n"/>
    </row>
    <row r="36">
      <c r="A36" s="32" t="inlineStr">
        <is>
          <t>Pressure transducer</t>
        </is>
      </c>
      <c r="B36" s="32" t="n">
        <v>2</v>
      </c>
      <c r="C36" s="32" t="inlineStr">
        <is>
          <t>Look at the pivot point</t>
        </is>
      </c>
      <c r="D36" s="32" t="n"/>
    </row>
    <row r="37">
      <c r="A37" s="32" t="inlineStr">
        <is>
          <t>Rain gauge</t>
        </is>
      </c>
      <c r="B37" s="32" t="n">
        <v>2</v>
      </c>
      <c r="C37" s="32" t="inlineStr">
        <is>
          <t>Look on the pivot</t>
        </is>
      </c>
      <c r="D37" s="32" t="n"/>
    </row>
    <row r="38">
      <c r="A38" s="32" t="inlineStr">
        <is>
          <t>Drive type</t>
        </is>
      </c>
      <c r="B38" s="32" t="n">
        <v>2</v>
      </c>
      <c r="C38" s="32" t="inlineStr">
        <is>
          <t>Panel or towers</t>
        </is>
      </c>
      <c r="D38" s="32" t="n"/>
    </row>
    <row r="39">
      <c r="A39" s="32" t="inlineStr">
        <is>
          <t>State ag water meter ID</t>
        </is>
      </c>
      <c r="B39" s="32" t="n">
        <v>3</v>
      </c>
      <c r="C39" s="32" t="inlineStr">
        <is>
          <t>Tag on the state meter</t>
        </is>
      </c>
      <c r="D39" s="32" t="n"/>
    </row>
    <row r="40">
      <c r="A40" s="32" t="inlineStr">
        <is>
          <t>Install year</t>
        </is>
      </c>
      <c r="B40" s="32" t="n">
        <v>3</v>
      </c>
      <c r="C40" s="32" t="inlineStr">
        <is>
          <t>Data plate or dealer</t>
        </is>
      </c>
      <c r="D40" s="32" t="n"/>
    </row>
    <row r="41">
      <c r="A41" s="32" t="inlineStr">
        <is>
          <t>Pivot serial / order #</t>
        </is>
      </c>
      <c r="B41" s="32" t="n">
        <v>3</v>
      </c>
      <c r="C41" s="32" t="inlineStr">
        <is>
          <t>Data plate</t>
        </is>
      </c>
      <c r="D41" s="32" t="n"/>
    </row>
    <row r="42">
      <c r="A42" s="32" t="inlineStr">
        <is>
          <t>Pump type</t>
        </is>
      </c>
      <c r="B42" s="32" t="n">
        <v>3</v>
      </c>
      <c r="C42" s="32" t="inlineStr">
        <is>
          <t>Pump plate</t>
        </is>
      </c>
      <c r="D42" s="32" t="n"/>
    </row>
    <row r="43">
      <c r="A43" s="32" t="inlineStr">
        <is>
          <t>Pump/motor hp</t>
        </is>
      </c>
      <c r="B43" s="32" t="n">
        <v>3</v>
      </c>
      <c r="C43" s="32" t="inlineStr">
        <is>
          <t>Motor plate</t>
        </is>
      </c>
      <c r="D43" s="32" t="n"/>
    </row>
    <row r="44">
      <c r="A44" s="32" t="inlineStr">
        <is>
          <t>Pressure regulators (psi)</t>
        </is>
      </c>
      <c r="B44" s="32" t="n">
        <v>4</v>
      </c>
      <c r="C44" s="32" t="inlineStr">
        <is>
          <t>Sprinkler chart or regulator label</t>
        </is>
      </c>
      <c r="D44" s="32" t="n"/>
    </row>
    <row r="45">
      <c r="A45" s="32" t="inlineStr">
        <is>
          <t>End gun on-arc / booster</t>
        </is>
      </c>
      <c r="B45" s="32" t="n">
        <v>4</v>
      </c>
      <c r="C45" s="32" t="inlineStr">
        <is>
          <t>Crew: sectors where it runs; booster pump yes/no</t>
        </is>
      </c>
      <c r="D45" s="32" t="n"/>
    </row>
    <row r="46">
      <c r="A46" s="32" t="inlineStr">
        <is>
          <t>Corner arm / swing arm</t>
        </is>
      </c>
      <c r="B46" s="32" t="n">
        <v>4</v>
      </c>
      <c r="C46" s="32" t="inlineStr">
        <is>
          <t>Look</t>
        </is>
      </c>
      <c r="D46" s="32" t="n"/>
    </row>
    <row r="47">
      <c r="A47" s="32" t="inlineStr">
        <is>
          <t>Known problems</t>
        </is>
      </c>
      <c r="B47" s="32" t="n">
        <v>4</v>
      </c>
      <c r="C47" s="32" t="inlineStr">
        <is>
          <t>Crew</t>
        </is>
      </c>
      <c r="D47" s="32" t="n"/>
    </row>
    <row r="48">
      <c r="A48" s="32" t="inlineStr">
        <is>
          <t>Last service / repair</t>
        </is>
      </c>
      <c r="B48" s="32" t="n">
        <v>4</v>
      </c>
      <c r="C48" s="32" t="inlineStr">
        <is>
          <t>Crew / dealer</t>
        </is>
      </c>
      <c r="D48" s="32" t="n"/>
    </row>
    <row r="50">
      <c r="A50" s="37" t="inlineStr">
        <is>
          <t>Office</t>
        </is>
      </c>
    </row>
    <row r="51" ht="48" customHeight="1">
      <c r="A51" s="3" t="inlineStr">
        <is>
          <t>Things Bo knows or has on paper: wells and which pivots share them, power source and bills, FSA-578, EPD permits, EQIP history, dealer names.</t>
        </is>
      </c>
    </row>
    <row r="52">
      <c r="A52" s="38" t="inlineStr">
        <is>
          <t>Field</t>
        </is>
      </c>
      <c r="B52" s="38" t="inlineStr">
        <is>
          <t>Tier</t>
        </is>
      </c>
      <c r="C52" s="38" t="inlineStr">
        <is>
          <t>Where to find it</t>
        </is>
      </c>
      <c r="D52" s="38" t="n"/>
    </row>
    <row r="53">
      <c r="A53" s="32" t="inlineStr">
        <is>
          <t>Irrigated acres (design or FSA)</t>
        </is>
      </c>
      <c r="B53" s="32" t="n">
        <v>1</v>
      </c>
      <c r="C53" s="32" t="inlineStr">
        <is>
          <t>Sprinkler chart (design acres) or FSA-578</t>
        </is>
      </c>
      <c r="D53" s="32" t="n"/>
    </row>
    <row r="54">
      <c r="A54" s="32" t="inlineStr">
        <is>
          <t>Water source</t>
        </is>
      </c>
      <c r="B54" s="32" t="n">
        <v>1</v>
      </c>
      <c r="C54" s="32" t="inlineStr">
        <is>
          <t>Bo</t>
        </is>
      </c>
      <c r="D54" s="32" t="n"/>
    </row>
    <row r="55">
      <c r="A55" s="32" t="inlineStr">
        <is>
          <t>Other pivots on same source</t>
        </is>
      </c>
      <c r="B55" s="32" t="n">
        <v>1</v>
      </c>
      <c r="C55" s="32" t="inlineStr">
        <is>
          <t>Bo: list the pivots that share the well or pump</t>
        </is>
      </c>
      <c r="D55" s="32" t="n"/>
    </row>
    <row r="56">
      <c r="A56" s="32" t="inlineStr">
        <is>
          <t>Dealer</t>
        </is>
      </c>
      <c r="B56" s="32" t="n">
        <v>2</v>
      </c>
      <c r="C56" s="32" t="inlineStr">
        <is>
          <t>Bo</t>
        </is>
      </c>
      <c r="D56" s="32" t="n"/>
    </row>
    <row r="57">
      <c r="A57" s="32" t="inlineStr">
        <is>
          <t>Well / intake ID</t>
        </is>
      </c>
      <c r="B57" s="32" t="n">
        <v>2</v>
      </c>
      <c r="C57" s="32" t="inlineStr">
        <is>
          <t>Bo: your name or number for the well or intake</t>
        </is>
      </c>
      <c r="D57" s="32" t="n"/>
    </row>
    <row r="58">
      <c r="A58" s="32" t="inlineStr">
        <is>
          <t>Power source</t>
        </is>
      </c>
      <c r="B58" s="32" t="n">
        <v>2</v>
      </c>
      <c r="C58" s="32" t="inlineStr">
        <is>
          <t>Bo</t>
        </is>
      </c>
      <c r="D58" s="32" t="n"/>
    </row>
    <row r="59">
      <c r="A59" s="32" t="inlineStr">
        <is>
          <t>FSA farm # (FSN)</t>
        </is>
      </c>
      <c r="B59" s="32" t="n">
        <v>3</v>
      </c>
      <c r="C59" s="32" t="inlineStr">
        <is>
          <t>Prefilled from Field Master 2026; confirm</t>
        </is>
      </c>
      <c r="D59" s="32" t="n"/>
    </row>
    <row r="60">
      <c r="A60" s="32" t="inlineStr">
        <is>
          <t>FSA tract / CLU</t>
        </is>
      </c>
      <c r="B60" s="32" t="n">
        <v>3</v>
      </c>
      <c r="C60" s="32" t="inlineStr">
        <is>
          <t>FSA-578 or FSA maps</t>
        </is>
      </c>
      <c r="D60" s="32" t="n"/>
    </row>
    <row r="61">
      <c r="A61" s="32" t="inlineStr">
        <is>
          <t>GA EPD withdrawal permit #</t>
        </is>
      </c>
      <c r="B61" s="32" t="n">
        <v>3</v>
      </c>
      <c r="C61" s="32" t="inlineStr">
        <is>
          <t>EPD permit papers</t>
        </is>
      </c>
      <c r="D61" s="32" t="n"/>
    </row>
    <row r="62">
      <c r="A62" s="32" t="inlineStr">
        <is>
          <t>Power supplier / meter #</t>
        </is>
      </c>
      <c r="B62" s="32" t="n">
        <v>3</v>
      </c>
      <c r="C62" s="32" t="inlineStr">
        <is>
          <t>Power bill or fuel records</t>
        </is>
      </c>
      <c r="D62" s="32" t="n"/>
    </row>
    <row r="63">
      <c r="A63" s="32" t="inlineStr">
        <is>
          <t>Well depth / aquifer</t>
        </is>
      </c>
      <c r="B63" s="32" t="n">
        <v>3</v>
      </c>
      <c r="C63" s="32" t="inlineStr">
        <is>
          <t>Well log</t>
        </is>
      </c>
      <c r="D63" s="32" t="n"/>
    </row>
    <row r="64">
      <c r="A64" s="32" t="inlineStr">
        <is>
          <t>EQIP / CSP history</t>
        </is>
      </c>
      <c r="B64" s="32" t="n">
        <v>3</v>
      </c>
      <c r="C64" s="32" t="inlineStr">
        <is>
          <t>NRCS contracts</t>
        </is>
      </c>
      <c r="D64" s="32" t="n"/>
    </row>
    <row r="65">
      <c r="A65" s="32" t="inlineStr">
        <is>
          <t>Irrigated 2 of last 5 yrs</t>
        </is>
      </c>
      <c r="B65" s="32" t="n">
        <v>3</v>
      </c>
      <c r="C65" s="32" t="inlineStr">
        <is>
          <t>Bo / FSA-578</t>
        </is>
      </c>
      <c r="D65" s="32" t="n"/>
    </row>
    <row r="66">
      <c r="A66" s="32" t="inlineStr">
        <is>
          <t>Sprinkler chart on file</t>
        </is>
      </c>
      <c r="B66" s="32" t="n">
        <v>4</v>
      </c>
      <c r="C66" s="32" t="inlineStr">
        <is>
          <t>Yes/No and where the photo lives</t>
        </is>
      </c>
      <c r="D66" s="32" t="n"/>
    </row>
    <row r="67">
      <c r="A67" s="32" t="inlineStr">
        <is>
          <t>Package install year</t>
        </is>
      </c>
      <c r="B67" s="32" t="n">
        <v>4</v>
      </c>
      <c r="C67" s="32" t="inlineStr">
        <is>
          <t>When nozzles were last replaced</t>
        </is>
      </c>
      <c r="D67" s="32" t="n"/>
    </row>
    <row r="69">
      <c r="A69" s="37" t="inlineStr">
        <is>
          <t>AgSense web</t>
        </is>
      </c>
    </row>
    <row r="70" ht="48" customHeight="1">
      <c r="A70" s="3" t="inlineStr">
        <is>
          <t>For the 36 AgSense pivots: the unit settings page shows the gpm, acres and (on most units) the hours per revolution configured for the unit. Good enough to start; replace with the chart or a test.</t>
        </is>
      </c>
    </row>
    <row r="71">
      <c r="A71" s="38" t="inlineStr">
        <is>
          <t>Field</t>
        </is>
      </c>
      <c r="B71" s="38" t="inlineStr">
        <is>
          <t>Tier</t>
        </is>
      </c>
      <c r="C71" s="38" t="inlineStr">
        <is>
          <t>Where to find it</t>
        </is>
      </c>
      <c r="D71" s="38" t="n"/>
    </row>
    <row r="72">
      <c r="A72" s="32" t="inlineStr">
        <is>
          <t>Hours per rev at 100%</t>
        </is>
      </c>
      <c r="B72" s="32" t="n">
        <v>1</v>
      </c>
      <c r="C72" s="32" t="inlineStr">
        <is>
          <t>Sprinkler chart, panel, or the AgSense unit settings</t>
        </is>
      </c>
      <c r="D72" s="32" t="n"/>
    </row>
    <row r="73">
      <c r="A73" s="32" t="inlineStr">
        <is>
          <t>Crop Link model</t>
        </is>
      </c>
      <c r="B73" s="32" t="n">
        <v>2</v>
      </c>
      <c r="C73" s="32" t="inlineStr">
        <is>
          <t>AgSense dealer, or the unit label</t>
        </is>
      </c>
      <c r="D73" s="32" t="n"/>
    </row>
    <row r="75">
      <c r="A75" s="37" t="inlineStr">
        <is>
          <t>MIL test (winter)</t>
        </is>
      </c>
    </row>
    <row r="76" ht="48" customHeight="1">
      <c r="A76" s="3" t="inlineStr">
        <is>
          <t>Book the UGA Mobile Irrigation Lab for the 8 pilot pivots first. It measures true gpm, pressure and uniformity.</t>
        </is>
      </c>
    </row>
    <row r="77">
      <c r="A77" s="38" t="inlineStr">
        <is>
          <t>Field</t>
        </is>
      </c>
      <c r="B77" s="38" t="inlineStr">
        <is>
          <t>Tier</t>
        </is>
      </c>
      <c r="C77" s="38" t="inlineStr">
        <is>
          <t>Where to find it</t>
        </is>
      </c>
      <c r="D77" s="38" t="n"/>
    </row>
    <row r="78">
      <c r="A78" s="32" t="inlineStr">
        <is>
          <t>Measured flow (gpm, date)</t>
        </is>
      </c>
      <c r="B78" s="32" t="n">
        <v>2</v>
      </c>
      <c r="C78" s="32" t="inlineStr">
        <is>
          <t>UGA Mobile Irrigation Lab or a flow meter</t>
        </is>
      </c>
      <c r="D78" s="32" t="n"/>
    </row>
    <row r="79">
      <c r="A79" s="32" t="inlineStr">
        <is>
          <t>Measured pressure (psi, date)</t>
        </is>
      </c>
      <c r="B79" s="32" t="n">
        <v>4</v>
      </c>
      <c r="C79" s="32" t="inlineStr">
        <is>
          <t>Mobile Irrigation Lab</t>
        </is>
      </c>
      <c r="D79" s="32" t="n"/>
    </row>
    <row r="80">
      <c r="A80" s="32" t="inlineStr">
        <is>
          <t>Last uniformity test (date, CU %)</t>
        </is>
      </c>
      <c r="B80" s="32" t="n">
        <v>4</v>
      </c>
      <c r="C80" s="32" t="inlineStr">
        <is>
          <t>Mobile Irrigation Lab</t>
        </is>
      </c>
      <c r="D80" s="32" t="n"/>
    </row>
  </sheetData>
  <mergeCells count="5">
    <mergeCell ref="A23:D23"/>
    <mergeCell ref="A70:D70"/>
    <mergeCell ref="A4:D4"/>
    <mergeCell ref="A51:D51"/>
    <mergeCell ref="A76:D7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8" customWidth="1" min="3" max="3"/>
    <col width="6" customWidth="1" min="4" max="4"/>
    <col width="7" customWidth="1" min="5" max="5"/>
  </cols>
  <sheetData>
    <row r="1">
      <c r="A1" s="31" t="inlineStr">
        <is>
          <t>Progress (updates as the Fill in tab is filled)</t>
        </is>
      </c>
    </row>
    <row r="3">
      <c r="A3" s="38" t="inlineStr">
        <is>
          <t>Field</t>
        </is>
      </c>
      <c r="B3" s="38" t="inlineStr">
        <is>
          <t>Tier</t>
        </is>
      </c>
      <c r="C3" s="38" t="inlineStr">
        <is>
          <t>Filled</t>
        </is>
      </c>
      <c r="D3" s="38" t="inlineStr">
        <is>
          <t>Of</t>
        </is>
      </c>
      <c r="E3" s="38" t="inlineStr">
        <is>
          <t>%</t>
        </is>
      </c>
    </row>
    <row r="4">
      <c r="A4" t="inlineStr">
        <is>
          <t>Irrigated acres (design or FSA)</t>
        </is>
      </c>
      <c r="B4" t="n">
        <v>1</v>
      </c>
      <c r="C4">
        <f>COUNTA('Fill in'!M5:M85)</f>
        <v/>
      </c>
      <c r="D4" t="n">
        <v>81</v>
      </c>
      <c r="E4" s="39">
        <f>C4/D4</f>
        <v/>
      </c>
    </row>
    <row r="5">
      <c r="A5" t="inlineStr">
        <is>
          <t>Design flow (gpm)</t>
        </is>
      </c>
      <c r="B5" t="n">
        <v>1</v>
      </c>
      <c r="C5">
        <f>COUNTA('Fill in'!N5:N85)</f>
        <v/>
      </c>
      <c r="D5" t="n">
        <v>81</v>
      </c>
      <c r="E5" s="39">
        <f>C5/D5</f>
        <v/>
      </c>
    </row>
    <row r="6">
      <c r="A6" t="inlineStr">
        <is>
          <t>Hours per rev at 100%</t>
        </is>
      </c>
      <c r="B6" t="n">
        <v>1</v>
      </c>
      <c r="C6">
        <f>COUNTA('Fill in'!O5:O85)</f>
        <v/>
      </c>
      <c r="D6" t="n">
        <v>81</v>
      </c>
      <c r="E6" s="39">
        <f>C6/D6</f>
        <v/>
      </c>
    </row>
    <row r="7">
      <c r="A7" t="inlineStr">
        <is>
          <t>Full or part circle (deg)</t>
        </is>
      </c>
      <c r="B7" t="n">
        <v>1</v>
      </c>
      <c r="C7">
        <f>COUNTA('Fill in'!P5:P85)</f>
        <v/>
      </c>
      <c r="D7" t="n">
        <v>81</v>
      </c>
      <c r="E7" s="39">
        <f>C7/D7</f>
        <v/>
      </c>
    </row>
    <row r="8">
      <c r="A8" t="inlineStr">
        <is>
          <t>End gun (Y/N, model)</t>
        </is>
      </c>
      <c r="B8" t="n">
        <v>1</v>
      </c>
      <c r="C8">
        <f>COUNTA('Fill in'!Q5:Q85)</f>
        <v/>
      </c>
      <c r="D8" t="n">
        <v>81</v>
      </c>
      <c r="E8" s="39">
        <f>C8/D8</f>
        <v/>
      </c>
    </row>
    <row r="9">
      <c r="A9" t="inlineStr">
        <is>
          <t>Sprinkler package</t>
        </is>
      </c>
      <c r="B9" t="n">
        <v>1</v>
      </c>
      <c r="C9">
        <f>COUNTA('Fill in'!R5:R85)</f>
        <v/>
      </c>
      <c r="D9" t="n">
        <v>81</v>
      </c>
      <c r="E9" s="39">
        <f>C9/D9</f>
        <v/>
      </c>
    </row>
    <row r="10">
      <c r="A10" t="inlineStr">
        <is>
          <t>Water source</t>
        </is>
      </c>
      <c r="B10" t="n">
        <v>1</v>
      </c>
      <c r="C10">
        <f>COUNTA('Fill in'!S5:S85)</f>
        <v/>
      </c>
      <c r="D10" t="n">
        <v>81</v>
      </c>
      <c r="E10" s="39">
        <f>C10/D10</f>
        <v/>
      </c>
    </row>
    <row r="11">
      <c r="A11" t="inlineStr">
        <is>
          <t>Other pivots on same source</t>
        </is>
      </c>
      <c r="B11" t="n">
        <v>1</v>
      </c>
      <c r="C11">
        <f>COUNTA('Fill in'!T5:T85)</f>
        <v/>
      </c>
      <c r="D11" t="n">
        <v>81</v>
      </c>
      <c r="E11" s="39">
        <f>C11/D11</f>
        <v/>
      </c>
    </row>
    <row r="12">
      <c r="A12" t="inlineStr">
        <is>
          <t>Design pressure (psi)</t>
        </is>
      </c>
      <c r="B12" t="n">
        <v>2</v>
      </c>
      <c r="C12">
        <f>COUNTA('Fill in'!U5:U85)</f>
        <v/>
      </c>
      <c r="D12" t="n">
        <v>81</v>
      </c>
      <c r="E12" s="39">
        <f>C12/D12</f>
        <v/>
      </c>
    </row>
    <row r="13">
      <c r="A13" t="inlineStr">
        <is>
          <t>Wetted radius incl. end gun (ft)</t>
        </is>
      </c>
      <c r="B13" t="n">
        <v>2</v>
      </c>
      <c r="C13">
        <f>COUNTA('Fill in'!V5:V85)</f>
        <v/>
      </c>
      <c r="D13" t="n">
        <v>81</v>
      </c>
      <c r="E13" s="39">
        <f>C13/D13</f>
        <v/>
      </c>
    </row>
    <row r="14">
      <c r="A14" t="inlineStr">
        <is>
          <t>Length to last tower (ft)</t>
        </is>
      </c>
      <c r="B14" t="n">
        <v>2</v>
      </c>
      <c r="C14">
        <f>COUNTA('Fill in'!W5:W85)</f>
        <v/>
      </c>
      <c r="D14" t="n">
        <v>81</v>
      </c>
      <c r="E14" s="39">
        <f>C14/D14</f>
        <v/>
      </c>
    </row>
    <row r="15">
      <c r="A15" t="inlineStr">
        <is>
          <t>Towers (#)</t>
        </is>
      </c>
      <c r="B15" t="n">
        <v>2</v>
      </c>
      <c r="C15">
        <f>COUNTA('Fill in'!X5:X85)</f>
        <v/>
      </c>
      <c r="D15" t="n">
        <v>81</v>
      </c>
      <c r="E15" s="39">
        <f>C15/D15</f>
        <v/>
      </c>
    </row>
    <row r="16">
      <c r="A16" t="inlineStr">
        <is>
          <t>Pivot make</t>
        </is>
      </c>
      <c r="B16" t="n">
        <v>2</v>
      </c>
      <c r="C16">
        <f>COUNTA('Fill in'!Y5:Y85)</f>
        <v/>
      </c>
      <c r="D16" t="n">
        <v>81</v>
      </c>
      <c r="E16" s="39">
        <f>C16/D16</f>
        <v/>
      </c>
    </row>
    <row r="17">
      <c r="A17" t="inlineStr">
        <is>
          <t>Model</t>
        </is>
      </c>
      <c r="B17" t="n">
        <v>2</v>
      </c>
      <c r="C17">
        <f>COUNTA('Fill in'!Z5:Z85)</f>
        <v/>
      </c>
      <c r="D17" t="n">
        <v>81</v>
      </c>
      <c r="E17" s="39">
        <f>C17/D17</f>
        <v/>
      </c>
    </row>
    <row r="18">
      <c r="A18" t="inlineStr">
        <is>
          <t>Control panel</t>
        </is>
      </c>
      <c r="B18" t="n">
        <v>2</v>
      </c>
      <c r="C18">
        <f>COUNTA('Fill in'!AA5:AA85)</f>
        <v/>
      </c>
      <c r="D18" t="n">
        <v>81</v>
      </c>
      <c r="E18" s="39">
        <f>C18/D18</f>
        <v/>
      </c>
    </row>
    <row r="19">
      <c r="A19" t="inlineStr">
        <is>
          <t>Crop Link model</t>
        </is>
      </c>
      <c r="B19" t="n">
        <v>2</v>
      </c>
      <c r="C19">
        <f>COUNTA('Fill in'!AB5:AB85)</f>
        <v/>
      </c>
      <c r="D19" t="n">
        <v>81</v>
      </c>
      <c r="E19" s="39">
        <f>C19/D19</f>
        <v/>
      </c>
    </row>
    <row r="20">
      <c r="A20" t="inlineStr">
        <is>
          <t>Flow meter</t>
        </is>
      </c>
      <c r="B20" t="n">
        <v>2</v>
      </c>
      <c r="C20">
        <f>COUNTA('Fill in'!AC5:AC85)</f>
        <v/>
      </c>
      <c r="D20" t="n">
        <v>81</v>
      </c>
      <c r="E20" s="39">
        <f>C20/D20</f>
        <v/>
      </c>
    </row>
    <row r="21">
      <c r="A21" t="inlineStr">
        <is>
          <t>Pressure transducer</t>
        </is>
      </c>
      <c r="B21" t="n">
        <v>2</v>
      </c>
      <c r="C21">
        <f>COUNTA('Fill in'!AD5:AD85)</f>
        <v/>
      </c>
      <c r="D21" t="n">
        <v>81</v>
      </c>
      <c r="E21" s="39">
        <f>C21/D21</f>
        <v/>
      </c>
    </row>
    <row r="22">
      <c r="A22" t="inlineStr">
        <is>
          <t>Rain gauge</t>
        </is>
      </c>
      <c r="B22" t="n">
        <v>2</v>
      </c>
      <c r="C22">
        <f>COUNTA('Fill in'!AE5:AE85)</f>
        <v/>
      </c>
      <c r="D22" t="n">
        <v>81</v>
      </c>
      <c r="E22" s="39">
        <f>C22/D22</f>
        <v/>
      </c>
    </row>
    <row r="23">
      <c r="A23" t="inlineStr">
        <is>
          <t>Position sensing</t>
        </is>
      </c>
      <c r="B23" t="n">
        <v>2</v>
      </c>
      <c r="C23">
        <f>COUNTA('Fill in'!AF5:AF85)</f>
        <v/>
      </c>
      <c r="D23" t="n">
        <v>81</v>
      </c>
      <c r="E23" s="39">
        <f>C23/D23</f>
        <v/>
      </c>
    </row>
    <row r="24">
      <c r="A24" t="inlineStr">
        <is>
          <t>Measured flow (gpm, date)</t>
        </is>
      </c>
      <c r="B24" t="n">
        <v>2</v>
      </c>
      <c r="C24">
        <f>COUNTA('Fill in'!AG5:AG85)</f>
        <v/>
      </c>
      <c r="D24" t="n">
        <v>81</v>
      </c>
      <c r="E24" s="39">
        <f>C24/D24</f>
        <v/>
      </c>
    </row>
    <row r="25">
      <c r="A25" t="inlineStr">
        <is>
          <t>Dealer</t>
        </is>
      </c>
      <c r="B25" t="n">
        <v>2</v>
      </c>
      <c r="C25">
        <f>COUNTA('Fill in'!AH5:AH85)</f>
        <v/>
      </c>
      <c r="D25" t="n">
        <v>81</v>
      </c>
      <c r="E25" s="39">
        <f>C25/D25</f>
        <v/>
      </c>
    </row>
    <row r="26">
      <c r="A26" t="inlineStr">
        <is>
          <t>Well / intake ID</t>
        </is>
      </c>
      <c r="B26" t="n">
        <v>2</v>
      </c>
      <c r="C26">
        <f>COUNTA('Fill in'!AI5:AI85)</f>
        <v/>
      </c>
      <c r="D26" t="n">
        <v>81</v>
      </c>
      <c r="E26" s="39">
        <f>C26/D26</f>
        <v/>
      </c>
    </row>
    <row r="27">
      <c r="A27" t="inlineStr">
        <is>
          <t>Power source</t>
        </is>
      </c>
      <c r="B27" t="n">
        <v>2</v>
      </c>
      <c r="C27">
        <f>COUNTA('Fill in'!AJ5:AJ85)</f>
        <v/>
      </c>
      <c r="D27" t="n">
        <v>81</v>
      </c>
      <c r="E27" s="39">
        <f>C27/D27</f>
        <v/>
      </c>
    </row>
    <row r="28">
      <c r="A28" t="inlineStr">
        <is>
          <t>Drive type</t>
        </is>
      </c>
      <c r="B28" t="n">
        <v>2</v>
      </c>
      <c r="C28">
        <f>COUNTA('Fill in'!AK5:AK85)</f>
        <v/>
      </c>
      <c r="D28" t="n">
        <v>81</v>
      </c>
      <c r="E28" s="39">
        <f>C28/D28</f>
        <v/>
      </c>
    </row>
    <row r="29">
      <c r="A29" t="inlineStr">
        <is>
          <t>FSA farm # (FSN)</t>
        </is>
      </c>
      <c r="B29" t="n">
        <v>3</v>
      </c>
      <c r="C29">
        <f>COUNTA('Fill in'!AL5:AL85)</f>
        <v/>
      </c>
      <c r="D29" t="n">
        <v>81</v>
      </c>
      <c r="E29" s="39">
        <f>C29/D29</f>
        <v/>
      </c>
    </row>
    <row r="30">
      <c r="A30" t="inlineStr">
        <is>
          <t>FSA tract / CLU</t>
        </is>
      </c>
      <c r="B30" t="n">
        <v>3</v>
      </c>
      <c r="C30">
        <f>COUNTA('Fill in'!AM5:AM85)</f>
        <v/>
      </c>
      <c r="D30" t="n">
        <v>81</v>
      </c>
      <c r="E30" s="39">
        <f>C30/D30</f>
        <v/>
      </c>
    </row>
    <row r="31">
      <c r="A31" t="inlineStr">
        <is>
          <t>GA EPD withdrawal permit #</t>
        </is>
      </c>
      <c r="B31" t="n">
        <v>3</v>
      </c>
      <c r="C31">
        <f>COUNTA('Fill in'!AN5:AN85)</f>
        <v/>
      </c>
      <c r="D31" t="n">
        <v>81</v>
      </c>
      <c r="E31" s="39">
        <f>C31/D31</f>
        <v/>
      </c>
    </row>
    <row r="32">
      <c r="A32" t="inlineStr">
        <is>
          <t>State ag water meter ID</t>
        </is>
      </c>
      <c r="B32" t="n">
        <v>3</v>
      </c>
      <c r="C32">
        <f>COUNTA('Fill in'!AO5:AO85)</f>
        <v/>
      </c>
      <c r="D32" t="n">
        <v>81</v>
      </c>
      <c r="E32" s="39">
        <f>C32/D32</f>
        <v/>
      </c>
    </row>
    <row r="33">
      <c r="A33" t="inlineStr">
        <is>
          <t>Power supplier / meter #</t>
        </is>
      </c>
      <c r="B33" t="n">
        <v>3</v>
      </c>
      <c r="C33">
        <f>COUNTA('Fill in'!AP5:AP85)</f>
        <v/>
      </c>
      <c r="D33" t="n">
        <v>81</v>
      </c>
      <c r="E33" s="39">
        <f>C33/D33</f>
        <v/>
      </c>
    </row>
    <row r="34">
      <c r="A34" t="inlineStr">
        <is>
          <t>Install year</t>
        </is>
      </c>
      <c r="B34" t="n">
        <v>3</v>
      </c>
      <c r="C34">
        <f>COUNTA('Fill in'!AQ5:AQ85)</f>
        <v/>
      </c>
      <c r="D34" t="n">
        <v>81</v>
      </c>
      <c r="E34" s="39">
        <f>C34/D34</f>
        <v/>
      </c>
    </row>
    <row r="35">
      <c r="A35" t="inlineStr">
        <is>
          <t>Pivot serial / order #</t>
        </is>
      </c>
      <c r="B35" t="n">
        <v>3</v>
      </c>
      <c r="C35">
        <f>COUNTA('Fill in'!AR5:AR85)</f>
        <v/>
      </c>
      <c r="D35" t="n">
        <v>81</v>
      </c>
      <c r="E35" s="39">
        <f>C35/D35</f>
        <v/>
      </c>
    </row>
    <row r="36">
      <c r="A36" t="inlineStr">
        <is>
          <t>Pump type</t>
        </is>
      </c>
      <c r="B36" t="n">
        <v>3</v>
      </c>
      <c r="C36">
        <f>COUNTA('Fill in'!AS5:AS85)</f>
        <v/>
      </c>
      <c r="D36" t="n">
        <v>81</v>
      </c>
      <c r="E36" s="39">
        <f>C36/D36</f>
        <v/>
      </c>
    </row>
    <row r="37">
      <c r="A37" t="inlineStr">
        <is>
          <t>Pump/motor hp</t>
        </is>
      </c>
      <c r="B37" t="n">
        <v>3</v>
      </c>
      <c r="C37">
        <f>COUNTA('Fill in'!AT5:AT85)</f>
        <v/>
      </c>
      <c r="D37" t="n">
        <v>81</v>
      </c>
      <c r="E37" s="39">
        <f>C37/D37</f>
        <v/>
      </c>
    </row>
    <row r="38">
      <c r="A38" t="inlineStr">
        <is>
          <t>Well depth / aquifer</t>
        </is>
      </c>
      <c r="B38" t="n">
        <v>3</v>
      </c>
      <c r="C38">
        <f>COUNTA('Fill in'!AU5:AU85)</f>
        <v/>
      </c>
      <c r="D38" t="n">
        <v>81</v>
      </c>
      <c r="E38" s="39">
        <f>C38/D38</f>
        <v/>
      </c>
    </row>
    <row r="39">
      <c r="A39" t="inlineStr">
        <is>
          <t>EQIP / CSP history</t>
        </is>
      </c>
      <c r="B39" t="n">
        <v>3</v>
      </c>
      <c r="C39">
        <f>COUNTA('Fill in'!AV5:AV85)</f>
        <v/>
      </c>
      <c r="D39" t="n">
        <v>81</v>
      </c>
      <c r="E39" s="39">
        <f>C39/D39</f>
        <v/>
      </c>
    </row>
    <row r="40">
      <c r="A40" t="inlineStr">
        <is>
          <t>Irrigated 2 of last 5 yrs</t>
        </is>
      </c>
      <c r="B40" t="n">
        <v>3</v>
      </c>
      <c r="C40">
        <f>COUNTA('Fill in'!AW5:AW85)</f>
        <v/>
      </c>
      <c r="D40" t="n">
        <v>81</v>
      </c>
      <c r="E40" s="39">
        <f>C40/D40</f>
        <v/>
      </c>
    </row>
    <row r="41">
      <c r="A41" t="inlineStr">
        <is>
          <t>Sprinkler chart on file</t>
        </is>
      </c>
      <c r="B41" t="n">
        <v>4</v>
      </c>
      <c r="C41">
        <f>COUNTA('Fill in'!AX5:AX85)</f>
        <v/>
      </c>
      <c r="D41" t="n">
        <v>81</v>
      </c>
      <c r="E41" s="39">
        <f>C41/D41</f>
        <v/>
      </c>
    </row>
    <row r="42">
      <c r="A42" t="inlineStr">
        <is>
          <t>Package install year</t>
        </is>
      </c>
      <c r="B42" t="n">
        <v>4</v>
      </c>
      <c r="C42">
        <f>COUNTA('Fill in'!AY5:AY85)</f>
        <v/>
      </c>
      <c r="D42" t="n">
        <v>81</v>
      </c>
      <c r="E42" s="39">
        <f>C42/D42</f>
        <v/>
      </c>
    </row>
    <row r="43">
      <c r="A43" t="inlineStr">
        <is>
          <t>Pressure regulators (psi)</t>
        </is>
      </c>
      <c r="B43" t="n">
        <v>4</v>
      </c>
      <c r="C43">
        <f>COUNTA('Fill in'!AZ5:AZ85)</f>
        <v/>
      </c>
      <c r="D43" t="n">
        <v>81</v>
      </c>
      <c r="E43" s="39">
        <f>C43/D43</f>
        <v/>
      </c>
    </row>
    <row r="44">
      <c r="A44" t="inlineStr">
        <is>
          <t>End gun on-arc / booster</t>
        </is>
      </c>
      <c r="B44" t="n">
        <v>4</v>
      </c>
      <c r="C44">
        <f>COUNTA('Fill in'!BA5:BA85)</f>
        <v/>
      </c>
      <c r="D44" t="n">
        <v>81</v>
      </c>
      <c r="E44" s="39">
        <f>C44/D44</f>
        <v/>
      </c>
    </row>
    <row r="45">
      <c r="A45" t="inlineStr">
        <is>
          <t>Corner arm / swing arm</t>
        </is>
      </c>
      <c r="B45" t="n">
        <v>4</v>
      </c>
      <c r="C45">
        <f>COUNTA('Fill in'!BB5:BB85)</f>
        <v/>
      </c>
      <c r="D45" t="n">
        <v>81</v>
      </c>
      <c r="E45" s="39">
        <f>C45/D45</f>
        <v/>
      </c>
    </row>
    <row r="46">
      <c r="A46" t="inlineStr">
        <is>
          <t>VRI (speed / zone)</t>
        </is>
      </c>
      <c r="B46" t="n">
        <v>4</v>
      </c>
      <c r="C46">
        <f>COUNTA('Fill in'!BC5:BC85)</f>
        <v/>
      </c>
      <c r="D46" t="n">
        <v>81</v>
      </c>
      <c r="E46" s="39">
        <f>C46/D46</f>
        <v/>
      </c>
    </row>
    <row r="47">
      <c r="A47" t="inlineStr">
        <is>
          <t>Measured pressure (psi, date)</t>
        </is>
      </c>
      <c r="B47" t="n">
        <v>4</v>
      </c>
      <c r="C47">
        <f>COUNTA('Fill in'!BD5:BD85)</f>
        <v/>
      </c>
      <c r="D47" t="n">
        <v>81</v>
      </c>
      <c r="E47" s="39">
        <f>C47/D47</f>
        <v/>
      </c>
    </row>
    <row r="48">
      <c r="A48" t="inlineStr">
        <is>
          <t>Last uniformity test (date, CU %)</t>
        </is>
      </c>
      <c r="B48" t="n">
        <v>4</v>
      </c>
      <c r="C48">
        <f>COUNTA('Fill in'!BE5:BE85)</f>
        <v/>
      </c>
      <c r="D48" t="n">
        <v>81</v>
      </c>
      <c r="E48" s="39">
        <f>C48/D48</f>
        <v/>
      </c>
    </row>
    <row r="49">
      <c r="A49" t="inlineStr">
        <is>
          <t>Known problems</t>
        </is>
      </c>
      <c r="B49" t="n">
        <v>4</v>
      </c>
      <c r="C49">
        <f>COUNTA('Fill in'!BF5:BF85)</f>
        <v/>
      </c>
      <c r="D49" t="n">
        <v>81</v>
      </c>
      <c r="E49" s="39">
        <f>C49/D49</f>
        <v/>
      </c>
    </row>
    <row r="50">
      <c r="A50" t="inlineStr">
        <is>
          <t>Last service / repair</t>
        </is>
      </c>
      <c r="B50" t="n">
        <v>4</v>
      </c>
      <c r="C50">
        <f>COUNTA('Fill in'!BG5:BG85)</f>
        <v/>
      </c>
      <c r="D50" t="n">
        <v>81</v>
      </c>
      <c r="E50" s="39">
        <f>C50/D50</f>
        <v/>
      </c>
    </row>
    <row r="52">
      <c r="A52" s="38" t="inlineStr">
        <is>
          <t>Pivots with all Tier 1 fields</t>
        </is>
      </c>
      <c r="C52">
        <f>COUNTIF('Fill in'!BH5:BH85,"8 of 8")</f>
        <v/>
      </c>
      <c r="D52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2026-10-13T18:02:54Z</dcterms:created>
  <dcterms:modified xmlns:dcterms="http://purl.org/dc/terms/" xmlns:xsi="http://www.w3.org/2001/XMLSchema-instance" xsi:type="dcterms:W3CDTF">2026-10-13T23:50:46Z</dcterms:modified>
</cp:coreProperties>
</file>